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k_abe_mail_utoronto_ca/Documents/Autobuilder 2.0/"/>
    </mc:Choice>
  </mc:AlternateContent>
  <xr:revisionPtr revIDLastSave="403" documentId="13_ncr:1_{E034CB22-C319-44EC-A094-273CD9D1A0B6}" xr6:coauthVersionLast="45" xr6:coauthVersionMax="45" xr10:uidLastSave="{22088C4C-B4A2-46A8-B0BA-E36462715A51}"/>
  <bookViews>
    <workbookView xWindow="-110" yWindow="-110" windowWidth="25820" windowHeight="14020" tabRatio="522" activeTab="2" xr2:uid="{3886B5EF-EF21-4DBC-AA87-02E9D999E081}"/>
  </bookViews>
  <sheets>
    <sheet name="Interface" sheetId="13" r:id="rId1"/>
    <sheet name="Index" sheetId="4" r:id="rId2"/>
    <sheet name="Input Table" sheetId="1" r:id="rId3"/>
    <sheet name="Panels" sheetId="14" r:id="rId4"/>
    <sheet name="Floor Plans" sheetId="7" r:id="rId5"/>
    <sheet name="Section Properties" sheetId="3" r:id="rId6"/>
    <sheet name="Bracing" sheetId="10" r:id="rId7"/>
    <sheet name="Floor Bracing" sheetId="11" r:id="rId8"/>
    <sheet name="Space Bracing" sheetId="12" r:id="rId9"/>
    <sheet name="Materials" sheetId="5" r:id="rId10"/>
  </sheets>
  <functionGroups builtInGroupCount="19"/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3" i="13" l="1"/>
  <c r="AC44" i="13"/>
  <c r="AC45" i="13"/>
  <c r="AC46" i="13"/>
  <c r="AC42" i="13"/>
  <c r="J15" i="13"/>
  <c r="J13" i="13"/>
  <c r="B33" i="4" l="1"/>
  <c r="B34" i="4"/>
  <c r="B35" i="4"/>
  <c r="B32" i="4"/>
  <c r="B39" i="4" l="1"/>
  <c r="B36" i="4" l="1"/>
  <c r="B38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tc={A1AD7500-824B-462C-A809-1C405D6545DA}</author>
    <author>tc={E85635E0-0F9D-4869-B8B2-A132EB2033AA}</author>
  </authors>
  <commentList>
    <comment ref="B6" authorId="0" shapeId="0" xr:uid="{A1AD7500-824B-462C-A809-1C405D6545DA}">
      <text>
        <t>[Threaded comment]
Your version of Excel allows you to read this threaded comment; however, any edits to it will get removed if the file is opened in a newer version of Excel. Learn more: https://go.microsoft.com/fwlink/?linkid=870924
Comment:
    X direction is the direction of shaking</t>
      </text>
    </comment>
    <comment ref="B15" authorId="1" shapeId="0" xr:uid="{E85635E0-0F9D-4869-B8B2-A132EB2033AA}">
      <text>
        <t>[Threaded comment]
Your version of Excel allows you to read this threaded comment; however, any edits to it will get removed if the file is opened in a newer version of Excel. Learn more: https://go.microsoft.com/fwlink/?linkid=870924
Comment:
    X direction is the direction of shaking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tc={C30B6200-67B5-4EE4-97BD-EBD2B72AB770}</author>
  </authors>
  <commentList>
    <comment ref="D3" authorId="0" shapeId="0" xr:uid="{C30B6200-67B5-4EE4-97BD-EBD2B72AB770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1 if there is a lumped mass at this node, 0 otherwise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tc={99123DC6-13B5-4B81-A9EC-59FD2137710F}</author>
  </authors>
  <commentList>
    <comment ref="B3" authorId="0" shapeId="0" xr:uid="{99123DC6-13B5-4B81-A9EC-59FD2137710F}">
      <text>
        <t>[Threaded comment]
Your version of Excel allows you to read this threaded comment; however, any edits to it will get removed if the file is opened in a newer version of Excel. Learn more: https://go.microsoft.com/fwlink/?linkid=870924
Comment:
    In kip, in, F units</t>
      </text>
    </comment>
  </commentList>
</comments>
</file>

<file path=xl/sharedStrings.xml><?xml version="1.0" encoding="utf-8"?>
<sst xmlns="http://schemas.openxmlformats.org/spreadsheetml/2006/main" count="522" uniqueCount="173">
  <si>
    <t>BALSA</t>
  </si>
  <si>
    <t>STEEL</t>
  </si>
  <si>
    <t>Property</t>
  </si>
  <si>
    <t>Value</t>
  </si>
  <si>
    <t>Area</t>
  </si>
  <si>
    <t>Torsional constant</t>
  </si>
  <si>
    <t>Shear area in 2 direction</t>
  </si>
  <si>
    <t>Shear area in 3 direction</t>
  </si>
  <si>
    <t>Section modulus about 3 axis</t>
  </si>
  <si>
    <t>Section modulus about 2 axis</t>
  </si>
  <si>
    <t>Plastic modulus about 3 axis</t>
  </si>
  <si>
    <t>Plastic modulus about 2 axis</t>
  </si>
  <si>
    <t>Radius of gyration about 3 axis</t>
  </si>
  <si>
    <t>Radius of gyration about 2 axis</t>
  </si>
  <si>
    <t>Bracing #</t>
  </si>
  <si>
    <t>Elastic modulus</t>
  </si>
  <si>
    <t>Poisson's ratio</t>
  </si>
  <si>
    <t>Thermal coefficient</t>
  </si>
  <si>
    <t>Plan #</t>
  </si>
  <si>
    <t>Member</t>
  </si>
  <si>
    <t>Node</t>
  </si>
  <si>
    <t>Section #</t>
  </si>
  <si>
    <t>Material #</t>
  </si>
  <si>
    <t>Name</t>
  </si>
  <si>
    <t>Steel rod</t>
  </si>
  <si>
    <t>//double cross</t>
  </si>
  <si>
    <t>Parameter</t>
  </si>
  <si>
    <t>Location</t>
  </si>
  <si>
    <t>Input table sheet</t>
  </si>
  <si>
    <t>Floor plans sheet</t>
  </si>
  <si>
    <t>Section properties sheet</t>
  </si>
  <si>
    <t>Bracing sheet</t>
  </si>
  <si>
    <t>Materials sheet</t>
  </si>
  <si>
    <t>Floor bracing sheet</t>
  </si>
  <si>
    <t>//K bracing</t>
  </si>
  <si>
    <t>//cheveron</t>
  </si>
  <si>
    <t>//inverted cheveron</t>
  </si>
  <si>
    <t>Input table offset</t>
  </si>
  <si>
    <t>Properties start row</t>
  </si>
  <si>
    <t>Material type</t>
  </si>
  <si>
    <t>Material</t>
  </si>
  <si>
    <t>//single cross</t>
  </si>
  <si>
    <t>Start node</t>
  </si>
  <si>
    <t>End node</t>
  </si>
  <si>
    <t>Section</t>
  </si>
  <si>
    <t xml:space="preserve">Member </t>
  </si>
  <si>
    <t>Horiz</t>
  </si>
  <si>
    <t>Vert</t>
  </si>
  <si>
    <t>Total number of towers</t>
  </si>
  <si>
    <t>Input table properties</t>
  </si>
  <si>
    <t>Floor number col</t>
  </si>
  <si>
    <t>A</t>
  </si>
  <si>
    <t>Floor plan col</t>
  </si>
  <si>
    <t>B</t>
  </si>
  <si>
    <t>Floor height col</t>
  </si>
  <si>
    <t>C</t>
  </si>
  <si>
    <t>Column properties start</t>
  </si>
  <si>
    <t>D</t>
  </si>
  <si>
    <t>Column properties end</t>
  </si>
  <si>
    <t>G</t>
  </si>
  <si>
    <t>Bracing type start</t>
  </si>
  <si>
    <t>H</t>
  </si>
  <si>
    <t>Bracing type end</t>
  </si>
  <si>
    <t>K</t>
  </si>
  <si>
    <t>Floor mass col</t>
  </si>
  <si>
    <t>Floor bracing col</t>
  </si>
  <si>
    <t>Section or material properties col</t>
  </si>
  <si>
    <t>Section or material values col</t>
  </si>
  <si>
    <t>F</t>
  </si>
  <si>
    <t>Moment of inertia about 3 axis</t>
  </si>
  <si>
    <t>Moment of inertia about 2 axis</t>
  </si>
  <si>
    <t>Weight per volume</t>
  </si>
  <si>
    <t>Bracing start col</t>
  </si>
  <si>
    <t>Bracing section col</t>
  </si>
  <si>
    <t>Bracing start node col</t>
  </si>
  <si>
    <t>Bracing end node col</t>
  </si>
  <si>
    <t>Floor plan start col</t>
  </si>
  <si>
    <t>Floor plan section col</t>
  </si>
  <si>
    <t>Floor plan start node col</t>
  </si>
  <si>
    <t>Floor plan end node col</t>
  </si>
  <si>
    <t>Floor plan mass col</t>
  </si>
  <si>
    <t>Mass</t>
  </si>
  <si>
    <t>Save location</t>
  </si>
  <si>
    <t>Results location</t>
  </si>
  <si>
    <t>d</t>
  </si>
  <si>
    <t>C:\Users\kotab\OneDrive - University of Toronto\Auto-builder\GM1.txt</t>
  </si>
  <si>
    <t xml:space="preserve">Note: All points defined with respect to the lower left corner of the largest floor plan. </t>
  </si>
  <si>
    <t>Space bracing col</t>
  </si>
  <si>
    <t>N</t>
  </si>
  <si>
    <t xml:space="preserve">//Cross Bracing centered at 3/4 </t>
  </si>
  <si>
    <t>//3 by 3</t>
  </si>
  <si>
    <t>in</t>
  </si>
  <si>
    <t>X dimensions</t>
  </si>
  <si>
    <t>Y dimensions</t>
  </si>
  <si>
    <t>TOWER GENERATOR</t>
  </si>
  <si>
    <t>V2</t>
  </si>
  <si>
    <t>Number of floors</t>
  </si>
  <si>
    <t>Max number of corners</t>
  </si>
  <si>
    <t>Max number of faces</t>
  </si>
  <si>
    <t>Default floor plan</t>
  </si>
  <si>
    <t>Default floor height</t>
  </si>
  <si>
    <t>Default floor bracing</t>
  </si>
  <si>
    <t>PROPERTIES GENERATOR</t>
  </si>
  <si>
    <t>Generate Rectangular Sections</t>
  </si>
  <si>
    <t>Generate Rectangular Floor Plans</t>
  </si>
  <si>
    <t>Default space bracing</t>
  </si>
  <si>
    <t>Section shape</t>
  </si>
  <si>
    <t>SETTINGS</t>
  </si>
  <si>
    <t>File Locations</t>
  </si>
  <si>
    <t>SAP2000 models</t>
  </si>
  <si>
    <t>Results file</t>
  </si>
  <si>
    <t>DISTRIBUTED COMPUTE</t>
  </si>
  <si>
    <t>Analysis Settings</t>
  </si>
  <si>
    <t>Values to try</t>
  </si>
  <si>
    <t>Default floor mass</t>
  </si>
  <si>
    <t>Default member material</t>
  </si>
  <si>
    <t>Default rod material</t>
  </si>
  <si>
    <t>Default face bracing</t>
  </si>
  <si>
    <t>UTABS by University of Toronto Seismic Design Team</t>
  </si>
  <si>
    <t>X Width</t>
  </si>
  <si>
    <t>Y Width</t>
  </si>
  <si>
    <t>Mass node 1 (x,y)</t>
  </si>
  <si>
    <t>I wanna try coding some stuff to allow us to split up the computing between multiple computers. This section will be used for controlling the settings for that feature.</t>
  </si>
  <si>
    <t>Default footprint</t>
  </si>
  <si>
    <t>Default x width</t>
  </si>
  <si>
    <t>Default y width</t>
  </si>
  <si>
    <t>J</t>
  </si>
  <si>
    <t>E</t>
  </si>
  <si>
    <t>Default column</t>
  </si>
  <si>
    <t>Configuration name</t>
  </si>
  <si>
    <t>Variables</t>
  </si>
  <si>
    <t>Increment</t>
  </si>
  <si>
    <t>1</t>
  </si>
  <si>
    <t>Generate Input Table</t>
  </si>
  <si>
    <t>Configuration to generate</t>
  </si>
  <si>
    <t>Add Base Configuration</t>
  </si>
  <si>
    <t>C:\Users\shirl\OneDrive - University of Toronto\Desktop\Seismic\Autobuilder\Autobuilder</t>
  </si>
  <si>
    <t>C:\Users\shirl\OneDrive - University of Toronto\Desktop\Seismic\Autobuilder\Autobuilder\GM1.txt</t>
  </si>
  <si>
    <t>C:\Users\kotab\OneDrive - University of Toronto\Auto-builder\GM2.txt</t>
  </si>
  <si>
    <t>Time history location 1</t>
  </si>
  <si>
    <t>Time history location 2</t>
  </si>
  <si>
    <t>RealTower</t>
  </si>
  <si>
    <t>144</t>
  </si>
  <si>
    <t>12</t>
  </si>
  <si>
    <t>3</t>
  </si>
  <si>
    <t>mass (lb)</t>
  </si>
  <si>
    <t>1-4</t>
  </si>
  <si>
    <t>Single 0.1875_0.1875</t>
  </si>
  <si>
    <t>Double 0.1875_0.1875</t>
  </si>
  <si>
    <t>Triple 0.1875_0.1875</t>
  </si>
  <si>
    <t>Quad 0.1875_0.1875</t>
  </si>
  <si>
    <t>V1</t>
  </si>
  <si>
    <t>Tower #</t>
  </si>
  <si>
    <t>Time history record 1</t>
  </si>
  <si>
    <t>Time history record 2</t>
  </si>
  <si>
    <t>GM1 time steps</t>
  </si>
  <si>
    <t>GM1 time interval</t>
  </si>
  <si>
    <t>GM2 time steps</t>
  </si>
  <si>
    <t>GM2 time interval</t>
  </si>
  <si>
    <t>Config1</t>
  </si>
  <si>
    <t>Panel bracing</t>
  </si>
  <si>
    <t>Panel #</t>
  </si>
  <si>
    <t>Member sections</t>
  </si>
  <si>
    <t>X</t>
  </si>
  <si>
    <t>Y</t>
  </si>
  <si>
    <t>Z</t>
  </si>
  <si>
    <t>Point</t>
  </si>
  <si>
    <t>C:\Users\kotab\OneDrive - University of Toronto\Autobuilder 2.0</t>
  </si>
  <si>
    <t>Lower left</t>
  </si>
  <si>
    <t>Upper left</t>
  </si>
  <si>
    <t>Upper right</t>
  </si>
  <si>
    <t>Lower right</t>
  </si>
  <si>
    <t>Single_0.1875x0.1875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</si>
</sst>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Font="1"/>
    <xf numFmtId="0" fontId="0" fillId="6" borderId="0" xfId="0" applyFill="1"/>
    <xf numFmtId="11" fontId="0" fillId="0" borderId="0" xfId="0" applyNumberFormat="1" applyFont="1"/>
    <xf numFmtId="0" fontId="0" fillId="2" borderId="0" xfId="0" applyFill="1" applyAlignment="1">
      <alignment horizontal="center"/>
    </xf>
    <xf numFmtId="11" fontId="0" fillId="0" borderId="0" xfId="0" applyNumberFormat="1"/>
    <xf numFmtId="0" fontId="2" fillId="4" borderId="0" xfId="1"/>
    <xf numFmtId="0" fontId="0" fillId="4" borderId="0" xfId="1" applyFont="1"/>
    <xf numFmtId="0" fontId="0" fillId="2" borderId="0" xfId="0" applyFill="1" applyAlignment="1">
      <alignment horizontal="right"/>
    </xf>
    <xf numFmtId="0" fontId="2" fillId="5" borderId="0" xfId="2"/>
    <xf numFmtId="0" fontId="0" fillId="5" borderId="0" xfId="2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7" borderId="0" xfId="3"/>
    <xf numFmtId="0" fontId="0" fillId="0" borderId="0" xfId="0" applyAlignment="1">
      <alignment horizontal="center"/>
    </xf>
    <xf numFmtId="0" fontId="4" fillId="0" borderId="0" xfId="3" applyFill="1"/>
    <xf numFmtId="0" fontId="5" fillId="0" borderId="0" xfId="3" applyFont="1" applyFill="1"/>
    <xf numFmtId="0" fontId="3" fillId="7" borderId="0" xfId="3" applyFont="1"/>
    <xf numFmtId="0" fontId="6" fillId="0" borderId="0" xfId="3" applyFont="1" applyFill="1" applyAlignment="1"/>
    <xf numFmtId="0" fontId="5" fillId="0" borderId="1" xfId="3" applyFont="1" applyFill="1" applyBorder="1"/>
    <xf numFmtId="0" fontId="5" fillId="0" borderId="0" xfId="3" applyFont="1" applyFill="1" applyBorder="1"/>
    <xf numFmtId="0" fontId="3" fillId="7" borderId="0" xfId="3" applyFont="1" applyBorder="1"/>
    <xf numFmtId="0" fontId="4" fillId="7" borderId="0" xfId="3" applyBorder="1"/>
    <xf numFmtId="0" fontId="4" fillId="8" borderId="0" xfId="4"/>
    <xf numFmtId="0" fontId="1" fillId="0" borderId="0" xfId="0" applyFont="1" applyAlignment="1">
      <alignment horizontal="center"/>
    </xf>
    <xf numFmtId="49" fontId="5" fillId="0" borderId="1" xfId="3" applyNumberFormat="1" applyFont="1" applyFill="1" applyBorder="1"/>
    <xf numFmtId="0" fontId="3" fillId="8" borderId="0" xfId="4" applyFont="1"/>
    <xf numFmtId="0" fontId="6" fillId="0" borderId="0" xfId="3" applyFont="1" applyFill="1"/>
    <xf numFmtId="0" fontId="5" fillId="0" borderId="1" xfId="3" applyFont="1" applyFill="1" applyBorder="1" applyAlignment="1"/>
    <xf numFmtId="0" fontId="5" fillId="0" borderId="0" xfId="3" applyFont="1" applyFill="1" applyBorder="1" applyAlignment="1"/>
    <xf numFmtId="0" fontId="5" fillId="0" borderId="0" xfId="3" applyFont="1" applyFill="1" applyAlignment="1"/>
    <xf numFmtId="0" fontId="0" fillId="0" borderId="0" xfId="0" applyFont="1" applyAlignment="1">
      <alignment horizontal="left"/>
    </xf>
    <xf numFmtId="0" fontId="4" fillId="8" borderId="0" xfId="4" applyAlignment="1">
      <alignment horizontal="center"/>
    </xf>
    <xf numFmtId="0" fontId="4" fillId="7" borderId="0" xfId="3" applyAlignment="1">
      <alignment horizontal="center"/>
    </xf>
    <xf numFmtId="0" fontId="6" fillId="0" borderId="0" xfId="3" applyFont="1" applyFill="1" applyAlignment="1">
      <alignment horizontal="center"/>
    </xf>
    <xf numFmtId="0" fontId="5" fillId="0" borderId="0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0" fillId="0" borderId="0" xfId="0" applyFont="1" applyAlignment="1">
      <alignment horizontal="center"/>
    </xf>
    <xf numFmtId="16" fontId="0" fillId="0" borderId="0" xfId="0" applyNumberFormat="1"/>
    <xf numFmtId="16" fontId="0" fillId="0" borderId="0" xfId="0" quotePrefix="1" applyNumberFormat="1"/>
    <xf numFmtId="49" fontId="5" fillId="0" borderId="0" xfId="3" applyNumberFormat="1" applyFont="1" applyFill="1"/>
    <xf numFmtId="49" fontId="0" fillId="0" borderId="1" xfId="0" applyNumberFormat="1" applyBorder="1"/>
    <xf numFmtId="0" fontId="5" fillId="0" borderId="2" xfId="3" applyFont="1" applyFill="1" applyBorder="1"/>
    <xf numFmtId="0" fontId="0" fillId="0" borderId="2" xfId="0" applyBorder="1"/>
    <xf numFmtId="0" fontId="0" fillId="0" borderId="0" xfId="0" applyBorder="1"/>
    <xf numFmtId="0" fontId="1" fillId="0" borderId="0" xfId="0" applyFont="1" applyBorder="1"/>
    <xf numFmtId="0" fontId="0" fillId="0" borderId="0" xfId="0"/>
    <xf numFmtId="0" fontId="0" fillId="2" borderId="0" xfId="0" applyFill="1"/>
    <xf numFmtId="0" fontId="1" fillId="0" borderId="0" xfId="0" applyFont="1"/>
    <xf numFmtId="11" fontId="0" fillId="0" borderId="0" xfId="0" applyNumberFormat="1"/>
    <xf numFmtId="0" fontId="0" fillId="0" borderId="1" xfId="0" applyBorder="1"/>
    <xf numFmtId="0" fontId="0" fillId="0" borderId="0" xfId="0" applyAlignment="1">
      <alignment horizontal="center" vertical="center"/>
    </xf>
  </cellXfs>
  <cellStyles count="5">
    <cellStyle name="20% - Accent2" xfId="1" builtinId="34"/>
    <cellStyle name="20% - Accent4" xfId="2" builtinId="42"/>
    <cellStyle name="Accent1" xfId="3" builtinId="29"/>
    <cellStyle name="Accent2" xfId="4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9</xdr:row>
          <xdr:rowOff>50800</xdr:rowOff>
        </xdr:from>
        <xdr:to>
          <xdr:col>4</xdr:col>
          <xdr:colOff>146050</xdr:colOff>
          <xdr:row>10</xdr:row>
          <xdr:rowOff>165100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floor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17</xdr:row>
          <xdr:rowOff>76200</xdr:rowOff>
        </xdr:from>
        <xdr:to>
          <xdr:col>4</xdr:col>
          <xdr:colOff>127000</xdr:colOff>
          <xdr:row>18</xdr:row>
          <xdr:rowOff>127000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52</xdr:row>
          <xdr:rowOff>114300</xdr:rowOff>
        </xdr:from>
        <xdr:to>
          <xdr:col>4</xdr:col>
          <xdr:colOff>95250</xdr:colOff>
          <xdr:row>54</xdr:row>
          <xdr:rowOff>38100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1422400</xdr:colOff>
          <xdr:row>57</xdr:row>
          <xdr:rowOff>31750</xdr:rowOff>
        </xdr:from>
        <xdr:to>
          <xdr:col>4</xdr:col>
          <xdr:colOff>88900</xdr:colOff>
          <xdr:row>59</xdr:row>
          <xdr:rowOff>57150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input table for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5384" name="Add variableRealTower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5385" name="Add variableRealTower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0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variable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tab\Documents\GitHub\Auto-Builder\Auto-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Index"/>
      <sheetName val="Input Table"/>
      <sheetName val="Floor Plans"/>
      <sheetName val="Section Properties"/>
      <sheetName val="Bracing"/>
      <sheetName val="Floor Bracing"/>
      <sheetName val="Space Bracing"/>
      <sheetName val="Materials"/>
      <sheetName val="Auto-Builder"/>
    </sheetNames>
    <definedNames>
      <definedName name="addVariabl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ota Abe" id="{3DE3CB3E-5D85-4BFC-A239-510DA1EB6383}" userId="Kota Abe" providerId="None"/>
  <person displayName="Kota Abe" id="{18C17E14-1549-4A56-ABD9-36B519B55095}" userId="1caae05afd92ad9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08-29T22:47:50.48" personId="{3DE3CB3E-5D85-4BFC-A239-510DA1EB6383}" id="{A1AD7500-824B-462C-A809-1C405D6545DA}">
    <text>X direction is the direction of shaking</text>
  </threadedComment>
  <threadedComment ref="B15" dT="2019-08-29T22:47:50.48" personId="{3DE3CB3E-5D85-4BFC-A239-510DA1EB6383}" id="{E85635E0-0F9D-4869-B8B2-A132EB2033AA}">
    <text>X direction is the direction of shaking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19-06-27T22:02:07.40" personId="{18C17E14-1549-4A56-ABD9-36B519B55095}" id="{C30B6200-67B5-4EE4-97BD-EBD2B72AB770}">
    <text>Enter 1 if there is a lumped mass at this node, 0 otherwise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" dT="2019-05-27T23:25:14.03" personId="{3DE3CB3E-5D85-4BFC-A239-510DA1EB6383}" id="{99123DC6-13B5-4B81-A9EC-59FD2137710F}">
    <text>In kip, in, F units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B7E5-B059-4E17-B548-0B4DAD9E2C80}">
  <sheetPr codeName="Sheet1">
    <tabColor theme="5"/>
  </sheetPr>
  <dimension ref="A1:AK122"/>
  <sheetViews>
    <sheetView workbookViewId="0">
      <selection activeCell="G41" sqref="G41"/>
    </sheetView>
  </sheetViews>
  <sheetFormatPr defaultRowHeight="14.5" x14ac:dyDescent="0.35"/>
  <cols>
    <col min="1" max="1" width="9.26953125" customWidth="1"/>
    <col min="2" max="2" width="21.81640625" customWidth="1"/>
    <col min="3" max="3" width="2.453125" customWidth="1"/>
    <col min="4" max="4" width="14.1796875" bestFit="1" customWidth="1"/>
    <col min="5" max="5" width="3.81640625" customWidth="1"/>
    <col min="6" max="6" width="2.81640625" style="46" bestFit="1" customWidth="1"/>
    <col min="7" max="7" width="21.81640625" customWidth="1"/>
    <col min="8" max="8" width="2.81640625" bestFit="1" customWidth="1"/>
    <col min="9" max="9" width="14.1796875" bestFit="1" customWidth="1"/>
    <col min="10" max="10" width="14.1796875" customWidth="1"/>
    <col min="11" max="11" width="2.54296875" customWidth="1"/>
    <col min="12" max="12" width="15.54296875" style="17" bestFit="1" customWidth="1"/>
    <col min="13" max="13" width="8.81640625" style="17" customWidth="1"/>
    <col min="14" max="14" width="14.1796875" style="17" bestFit="1" customWidth="1"/>
    <col min="15" max="15" width="13.54296875" style="17" bestFit="1" customWidth="1"/>
    <col min="16" max="16" width="15.81640625" style="17" bestFit="1" customWidth="1"/>
    <col min="17" max="17" width="16.453125" style="17" bestFit="1" customWidth="1"/>
    <col min="18" max="18" width="4.26953125" style="17" customWidth="1"/>
    <col min="19" max="20" width="3.81640625" style="17" customWidth="1"/>
    <col min="21" max="21" width="4" style="17" customWidth="1"/>
    <col min="22" max="22" width="4.26953125" style="17" customWidth="1"/>
    <col min="23" max="23" width="5" style="17" customWidth="1"/>
    <col min="24" max="24" width="4.54296875" style="17" customWidth="1"/>
    <col min="25" max="25" width="4.1796875" style="17" customWidth="1"/>
    <col min="26" max="30" width="8.81640625" customWidth="1"/>
  </cols>
  <sheetData>
    <row r="1" spans="1:37" s="26" customFormat="1" x14ac:dyDescent="0.35">
      <c r="B1" s="29" t="s">
        <v>118</v>
      </c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37" s="16" customFormat="1" x14ac:dyDescent="0.35">
      <c r="B2" s="20" t="s">
        <v>102</v>
      </c>
      <c r="G2" s="20" t="s">
        <v>107</v>
      </c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1:37" s="18" customFormat="1" x14ac:dyDescent="0.35">
      <c r="A3" s="19"/>
      <c r="B3" s="30"/>
      <c r="C3" s="30"/>
      <c r="D3" s="30"/>
      <c r="E3" s="30"/>
      <c r="F3" s="30"/>
      <c r="G3" s="30"/>
      <c r="H3" s="30"/>
      <c r="I3" s="30"/>
      <c r="J3" s="30"/>
      <c r="K3" s="30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</row>
    <row r="4" spans="1:37" x14ac:dyDescent="0.35">
      <c r="B4" s="1" t="s">
        <v>104</v>
      </c>
      <c r="F4"/>
      <c r="G4" s="1" t="s">
        <v>108</v>
      </c>
      <c r="M4" s="27"/>
    </row>
    <row r="5" spans="1:37" x14ac:dyDescent="0.35">
      <c r="B5" s="4" t="s">
        <v>23</v>
      </c>
      <c r="D5" s="22"/>
      <c r="F5"/>
      <c r="G5" t="s">
        <v>109</v>
      </c>
      <c r="I5" s="31" t="s">
        <v>167</v>
      </c>
      <c r="J5" s="32"/>
      <c r="M5" s="27"/>
    </row>
    <row r="6" spans="1:37" x14ac:dyDescent="0.35">
      <c r="B6" t="s">
        <v>92</v>
      </c>
      <c r="D6" s="22"/>
      <c r="E6" t="s">
        <v>91</v>
      </c>
      <c r="F6"/>
      <c r="G6" t="s">
        <v>110</v>
      </c>
      <c r="I6" s="31" t="s">
        <v>167</v>
      </c>
      <c r="J6" s="32"/>
    </row>
    <row r="7" spans="1:37" x14ac:dyDescent="0.35">
      <c r="B7" t="s">
        <v>93</v>
      </c>
      <c r="D7" s="22"/>
      <c r="E7" t="s">
        <v>91</v>
      </c>
      <c r="F7"/>
      <c r="G7" t="s">
        <v>153</v>
      </c>
      <c r="I7" s="31" t="s">
        <v>85</v>
      </c>
      <c r="J7" s="32"/>
    </row>
    <row r="8" spans="1:37" x14ac:dyDescent="0.35">
      <c r="B8" t="s">
        <v>121</v>
      </c>
      <c r="D8" s="22"/>
      <c r="F8"/>
      <c r="G8" s="49" t="s">
        <v>154</v>
      </c>
      <c r="I8" s="31" t="s">
        <v>138</v>
      </c>
      <c r="J8" s="32"/>
    </row>
    <row r="9" spans="1:37" x14ac:dyDescent="0.35">
      <c r="B9" t="s">
        <v>40</v>
      </c>
      <c r="D9" s="22"/>
      <c r="F9"/>
      <c r="I9" s="32"/>
      <c r="J9" s="32"/>
    </row>
    <row r="10" spans="1:37" x14ac:dyDescent="0.35">
      <c r="F10"/>
    </row>
    <row r="11" spans="1:37" x14ac:dyDescent="0.35">
      <c r="F11"/>
    </row>
    <row r="12" spans="1:37" x14ac:dyDescent="0.35">
      <c r="B12" s="1" t="s">
        <v>103</v>
      </c>
      <c r="F12"/>
      <c r="G12" s="1" t="s">
        <v>112</v>
      </c>
    </row>
    <row r="13" spans="1:37" x14ac:dyDescent="0.35">
      <c r="B13" s="4" t="s">
        <v>23</v>
      </c>
      <c r="D13" s="22"/>
      <c r="F13"/>
      <c r="G13" t="s">
        <v>155</v>
      </c>
      <c r="I13" s="53">
        <v>26600</v>
      </c>
      <c r="J13">
        <f>I13/100</f>
        <v>266</v>
      </c>
    </row>
    <row r="14" spans="1:37" x14ac:dyDescent="0.35">
      <c r="B14" t="s">
        <v>106</v>
      </c>
      <c r="D14" s="22"/>
      <c r="F14"/>
      <c r="G14" t="s">
        <v>156</v>
      </c>
      <c r="I14" s="53">
        <v>1E-3</v>
      </c>
      <c r="J14">
        <v>0.1</v>
      </c>
    </row>
    <row r="15" spans="1:37" x14ac:dyDescent="0.35">
      <c r="B15" t="s">
        <v>92</v>
      </c>
      <c r="D15" s="22"/>
      <c r="E15" t="s">
        <v>91</v>
      </c>
      <c r="F15"/>
      <c r="G15" t="s">
        <v>157</v>
      </c>
      <c r="I15" s="53">
        <v>35800</v>
      </c>
      <c r="J15" s="49">
        <f>I15/100</f>
        <v>358</v>
      </c>
    </row>
    <row r="16" spans="1:37" x14ac:dyDescent="0.35">
      <c r="B16" t="s">
        <v>93</v>
      </c>
      <c r="D16" s="22"/>
      <c r="E16" t="s">
        <v>91</v>
      </c>
      <c r="F16"/>
      <c r="G16" t="s">
        <v>158</v>
      </c>
      <c r="I16" s="53">
        <v>1E-3</v>
      </c>
      <c r="J16" s="49">
        <v>0.1</v>
      </c>
    </row>
    <row r="17" spans="2:25" x14ac:dyDescent="0.35">
      <c r="B17" t="s">
        <v>40</v>
      </c>
      <c r="D17" s="22"/>
      <c r="F17"/>
    </row>
    <row r="18" spans="2:25" x14ac:dyDescent="0.35">
      <c r="F18"/>
    </row>
    <row r="19" spans="2:25" x14ac:dyDescent="0.35">
      <c r="F19"/>
    </row>
    <row r="20" spans="2:25" x14ac:dyDescent="0.35">
      <c r="F20"/>
    </row>
    <row r="21" spans="2:25" s="16" customFormat="1" hidden="1" x14ac:dyDescent="0.35">
      <c r="B21" s="20" t="s">
        <v>111</v>
      </c>
      <c r="G21" s="20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</row>
    <row r="22" spans="2:25" hidden="1" x14ac:dyDescent="0.35">
      <c r="B22" t="s">
        <v>122</v>
      </c>
      <c r="F22"/>
    </row>
    <row r="23" spans="2:25" hidden="1" x14ac:dyDescent="0.35">
      <c r="F23"/>
    </row>
    <row r="24" spans="2:25" hidden="1" x14ac:dyDescent="0.35">
      <c r="F24"/>
      <c r="I24" s="42"/>
      <c r="L24"/>
      <c r="M24"/>
      <c r="N24"/>
      <c r="O24"/>
    </row>
    <row r="25" spans="2:25" hidden="1" x14ac:dyDescent="0.35">
      <c r="F25"/>
      <c r="L25"/>
      <c r="M25"/>
      <c r="N25"/>
      <c r="O25"/>
    </row>
    <row r="26" spans="2:25" hidden="1" x14ac:dyDescent="0.35">
      <c r="F26"/>
    </row>
    <row r="27" spans="2:25" hidden="1" x14ac:dyDescent="0.35">
      <c r="F27"/>
      <c r="I27" s="41"/>
    </row>
    <row r="28" spans="2:25" hidden="1" x14ac:dyDescent="0.35">
      <c r="F28"/>
    </row>
    <row r="29" spans="2:25" hidden="1" x14ac:dyDescent="0.35">
      <c r="F29"/>
    </row>
    <row r="30" spans="2:25" hidden="1" x14ac:dyDescent="0.35">
      <c r="F30"/>
    </row>
    <row r="31" spans="2:25" hidden="1" x14ac:dyDescent="0.35">
      <c r="F31"/>
    </row>
    <row r="32" spans="2:25" hidden="1" x14ac:dyDescent="0.35">
      <c r="F32"/>
    </row>
    <row r="33" spans="2:29" s="16" customFormat="1" x14ac:dyDescent="0.35">
      <c r="B33" s="20" t="s">
        <v>94</v>
      </c>
      <c r="G33" s="24"/>
      <c r="H33" s="25"/>
      <c r="I33" s="25"/>
      <c r="J33" s="25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</row>
    <row r="34" spans="2:29" s="19" customFormat="1" x14ac:dyDescent="0.35">
      <c r="F34" s="45"/>
      <c r="G34" s="23"/>
      <c r="H34" s="23"/>
      <c r="I34" s="23"/>
      <c r="J34" s="23"/>
      <c r="K34" s="23"/>
      <c r="L34" s="38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</row>
    <row r="35" spans="2:29" s="19" customFormat="1" x14ac:dyDescent="0.35">
      <c r="B35" s="21" t="s">
        <v>135</v>
      </c>
      <c r="C35" s="21"/>
      <c r="F35" s="23"/>
      <c r="G35" s="51" t="s">
        <v>159</v>
      </c>
      <c r="H35" s="49"/>
      <c r="I35" s="49"/>
      <c r="J35" s="49"/>
      <c r="K35" s="49"/>
      <c r="L35" s="4" t="s">
        <v>152</v>
      </c>
      <c r="M35" s="4">
        <v>1</v>
      </c>
      <c r="N35" s="4"/>
      <c r="O35" s="4"/>
    </row>
    <row r="36" spans="2:29" s="19" customFormat="1" x14ac:dyDescent="0.35">
      <c r="B36" s="33" t="s">
        <v>129</v>
      </c>
      <c r="C36" s="21"/>
      <c r="D36" s="28" t="s">
        <v>141</v>
      </c>
      <c r="F36" s="23"/>
      <c r="G36" s="49" t="s">
        <v>130</v>
      </c>
      <c r="H36" s="49"/>
      <c r="I36" s="49" t="s">
        <v>113</v>
      </c>
      <c r="J36" s="49" t="s">
        <v>131</v>
      </c>
      <c r="K36" s="49"/>
      <c r="L36" s="4" t="s">
        <v>119</v>
      </c>
      <c r="M36" s="4">
        <v>12</v>
      </c>
      <c r="N36" s="4"/>
      <c r="O36" s="4"/>
    </row>
    <row r="37" spans="2:29" s="19" customFormat="1" x14ac:dyDescent="0.35">
      <c r="B37" s="19" t="s">
        <v>96</v>
      </c>
      <c r="D37" s="28" t="s">
        <v>143</v>
      </c>
      <c r="F37" s="23"/>
      <c r="G37" s="14" t="s">
        <v>151</v>
      </c>
      <c r="H37" s="49"/>
      <c r="I37" s="44" t="s">
        <v>146</v>
      </c>
      <c r="J37" s="44" t="s">
        <v>132</v>
      </c>
      <c r="K37" s="49"/>
      <c r="L37" s="4" t="s">
        <v>120</v>
      </c>
      <c r="M37" s="4">
        <v>12</v>
      </c>
      <c r="N37" s="4"/>
      <c r="O37" s="4"/>
    </row>
    <row r="38" spans="2:29" s="19" customFormat="1" x14ac:dyDescent="0.35">
      <c r="B38" t="s">
        <v>97</v>
      </c>
      <c r="D38" s="28">
        <v>4</v>
      </c>
      <c r="F38" s="23"/>
      <c r="G38" s="14" t="s">
        <v>95</v>
      </c>
      <c r="H38" s="49"/>
      <c r="I38" s="44" t="s">
        <v>146</v>
      </c>
      <c r="J38" s="44" t="s">
        <v>132</v>
      </c>
      <c r="K38" s="49"/>
      <c r="L38" s="4"/>
      <c r="M38" s="4"/>
      <c r="N38" s="4"/>
      <c r="O38" s="4"/>
    </row>
    <row r="39" spans="2:29" s="19" customFormat="1" x14ac:dyDescent="0.35">
      <c r="B39" t="s">
        <v>98</v>
      </c>
      <c r="D39" s="28">
        <v>4</v>
      </c>
      <c r="F39" s="23"/>
      <c r="G39" s="14"/>
      <c r="H39" s="49"/>
      <c r="I39" s="44"/>
      <c r="J39" s="44"/>
      <c r="K39" s="49"/>
      <c r="L39" s="51" t="s">
        <v>160</v>
      </c>
      <c r="M39" s="51"/>
      <c r="N39" s="51" t="s">
        <v>162</v>
      </c>
      <c r="O39" s="4"/>
    </row>
    <row r="40" spans="2:29" s="19" customFormat="1" x14ac:dyDescent="0.35">
      <c r="B40"/>
      <c r="D40" s="43"/>
      <c r="F40" s="23"/>
      <c r="G40" s="14"/>
      <c r="H40" s="49"/>
      <c r="I40" s="44"/>
      <c r="J40" s="44"/>
      <c r="K40" s="49"/>
      <c r="L40" s="4" t="s">
        <v>161</v>
      </c>
      <c r="M40" s="4" t="s">
        <v>14</v>
      </c>
      <c r="N40" s="4" t="s">
        <v>19</v>
      </c>
      <c r="O40" s="4" t="s">
        <v>21</v>
      </c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2:29" s="19" customFormat="1" x14ac:dyDescent="0.35">
      <c r="B41" s="19" t="s">
        <v>115</v>
      </c>
      <c r="D41" s="28" t="s">
        <v>0</v>
      </c>
      <c r="F41" s="23"/>
      <c r="G41" s="14"/>
      <c r="H41" s="49"/>
      <c r="I41" s="44"/>
      <c r="J41" s="44"/>
      <c r="K41" s="49"/>
      <c r="L41" s="4">
        <v>1</v>
      </c>
      <c r="M41" s="4">
        <v>1</v>
      </c>
      <c r="N41" s="4">
        <v>12</v>
      </c>
      <c r="O41" s="4">
        <v>2</v>
      </c>
      <c r="P41" s="30"/>
      <c r="Q41" s="30"/>
      <c r="R41" s="30"/>
      <c r="S41" s="30"/>
      <c r="T41" s="30"/>
      <c r="U41" s="30"/>
      <c r="V41" s="30"/>
      <c r="W41" s="30"/>
      <c r="X41" s="30"/>
      <c r="Y41" s="30"/>
      <c r="AB41" s="19" t="s">
        <v>145</v>
      </c>
    </row>
    <row r="42" spans="2:29" s="19" customFormat="1" x14ac:dyDescent="0.35">
      <c r="B42" s="19" t="s">
        <v>116</v>
      </c>
      <c r="D42" s="28" t="s">
        <v>1</v>
      </c>
      <c r="F42" s="23"/>
      <c r="G42" s="49"/>
      <c r="H42" s="49"/>
      <c r="I42" s="49"/>
      <c r="J42" s="49"/>
      <c r="K42" s="49"/>
      <c r="L42" s="19">
        <v>2</v>
      </c>
      <c r="M42" s="19">
        <v>2</v>
      </c>
      <c r="N42" s="19" t="s">
        <v>151</v>
      </c>
      <c r="O42" s="19">
        <v>2</v>
      </c>
      <c r="AB42" s="49">
        <v>0</v>
      </c>
      <c r="AC42" s="19">
        <f>CONVERT(O42, "kg", "lbm")</f>
        <v>4.4092452436975513</v>
      </c>
    </row>
    <row r="43" spans="2:29" s="19" customFormat="1" x14ac:dyDescent="0.35">
      <c r="B43" t="s">
        <v>123</v>
      </c>
      <c r="C43"/>
      <c r="D43" s="28" t="s">
        <v>142</v>
      </c>
      <c r="F43" s="23"/>
      <c r="G43" s="49"/>
      <c r="H43" s="49"/>
      <c r="I43" s="49"/>
      <c r="J43" s="49"/>
      <c r="K43" s="49"/>
      <c r="L43" s="19">
        <v>3</v>
      </c>
      <c r="M43" s="19">
        <v>3</v>
      </c>
      <c r="N43" s="19">
        <v>65</v>
      </c>
      <c r="O43" s="19" t="s">
        <v>95</v>
      </c>
      <c r="AB43" s="49">
        <v>0</v>
      </c>
      <c r="AC43" s="19" t="e">
        <f t="shared" ref="AC43:AC46" si="0">CONVERT(O43, "kg", "lbm")</f>
        <v>#VALUE!</v>
      </c>
    </row>
    <row r="44" spans="2:29" s="19" customFormat="1" x14ac:dyDescent="0.35">
      <c r="B44" t="s">
        <v>124</v>
      </c>
      <c r="C44"/>
      <c r="D44" s="28" t="s">
        <v>143</v>
      </c>
      <c r="F44" s="23"/>
      <c r="G44" s="49"/>
      <c r="H44" s="49"/>
      <c r="I44" s="49"/>
      <c r="J44" s="49"/>
      <c r="K44" s="49"/>
      <c r="L44" s="19">
        <v>4</v>
      </c>
      <c r="M44" s="19">
        <v>4</v>
      </c>
      <c r="N44" s="19">
        <v>22</v>
      </c>
      <c r="O44" s="19">
        <v>2</v>
      </c>
      <c r="AB44" s="49">
        <v>0</v>
      </c>
      <c r="AC44" s="19">
        <f t="shared" si="0"/>
        <v>4.4092452436975513</v>
      </c>
    </row>
    <row r="45" spans="2:29" s="19" customFormat="1" x14ac:dyDescent="0.35">
      <c r="B45" t="s">
        <v>125</v>
      </c>
      <c r="C45"/>
      <c r="D45" s="28" t="s">
        <v>143</v>
      </c>
      <c r="F45" s="23"/>
      <c r="G45" s="49"/>
      <c r="H45" s="49"/>
      <c r="I45" s="49"/>
      <c r="J45" s="49"/>
      <c r="K45" s="49"/>
      <c r="L45" s="4"/>
      <c r="N45" s="19">
        <v>23</v>
      </c>
      <c r="O45" s="19">
        <v>1</v>
      </c>
      <c r="AB45" s="49">
        <v>1.96</v>
      </c>
      <c r="AC45" s="19">
        <f t="shared" si="0"/>
        <v>2.2046226218487757</v>
      </c>
    </row>
    <row r="46" spans="2:29" x14ac:dyDescent="0.35">
      <c r="B46" t="s">
        <v>99</v>
      </c>
      <c r="C46" s="19"/>
      <c r="D46" s="28">
        <v>1</v>
      </c>
      <c r="F46" s="47"/>
      <c r="G46" s="49"/>
      <c r="H46" s="49"/>
      <c r="I46" s="49"/>
      <c r="J46" s="49"/>
      <c r="K46" s="49"/>
      <c r="L46" s="49"/>
      <c r="M46" s="49"/>
      <c r="N46" s="49"/>
      <c r="O46" s="49"/>
      <c r="P46" s="19"/>
      <c r="Q46" s="49"/>
      <c r="R46" s="19"/>
      <c r="S46" s="19"/>
      <c r="T46" s="19"/>
      <c r="U46" s="19"/>
      <c r="V46" s="49"/>
      <c r="W46" s="49"/>
      <c r="X46" s="49"/>
      <c r="Y46" s="49"/>
      <c r="Z46" s="49"/>
      <c r="AA46" s="49"/>
      <c r="AB46" s="49">
        <v>1.96</v>
      </c>
      <c r="AC46" s="19">
        <f t="shared" si="0"/>
        <v>0</v>
      </c>
    </row>
    <row r="47" spans="2:29" x14ac:dyDescent="0.35">
      <c r="B47" t="s">
        <v>100</v>
      </c>
      <c r="C47" s="19"/>
      <c r="D47" s="28">
        <v>6</v>
      </c>
      <c r="F47" s="47"/>
      <c r="G47" s="51"/>
      <c r="H47" s="49"/>
      <c r="I47" s="49"/>
      <c r="J47" s="49"/>
      <c r="K47" s="49"/>
      <c r="L47" s="49"/>
      <c r="M47" s="49"/>
      <c r="N47" s="49"/>
      <c r="O47" s="49"/>
      <c r="P47" s="19"/>
      <c r="Q47" s="49"/>
      <c r="R47" s="19"/>
      <c r="S47" s="19"/>
      <c r="T47" s="19"/>
      <c r="U47" s="19"/>
      <c r="V47" s="49"/>
      <c r="W47" s="49"/>
      <c r="X47" s="49"/>
      <c r="Y47" s="49"/>
      <c r="Z47" s="49"/>
      <c r="AA47" s="49"/>
      <c r="AB47" s="49"/>
      <c r="AC47" s="19"/>
    </row>
    <row r="48" spans="2:29" x14ac:dyDescent="0.35">
      <c r="B48" t="s">
        <v>128</v>
      </c>
      <c r="C48" s="19"/>
      <c r="D48" s="28">
        <v>1</v>
      </c>
      <c r="F48" s="47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19"/>
      <c r="S48" s="19"/>
      <c r="T48" s="19"/>
      <c r="U48" s="19"/>
      <c r="V48" s="49"/>
      <c r="W48" s="49"/>
      <c r="X48" s="49"/>
      <c r="Y48" s="49"/>
      <c r="Z48" s="49"/>
      <c r="AA48" s="49"/>
      <c r="AB48" s="49"/>
      <c r="AC48" s="19"/>
    </row>
    <row r="49" spans="2:31" x14ac:dyDescent="0.35">
      <c r="B49" s="19" t="s">
        <v>117</v>
      </c>
      <c r="C49" s="19"/>
      <c r="D49" s="28">
        <v>1</v>
      </c>
      <c r="F49" s="47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19"/>
      <c r="S49" s="19"/>
      <c r="T49" s="19"/>
      <c r="U49" s="19"/>
      <c r="V49" s="49"/>
      <c r="W49" s="49"/>
      <c r="X49" s="49"/>
      <c r="Y49" s="49"/>
      <c r="Z49" s="49"/>
      <c r="AA49" s="49"/>
      <c r="AB49" s="49"/>
      <c r="AC49" s="19"/>
    </row>
    <row r="50" spans="2:31" x14ac:dyDescent="0.35">
      <c r="B50" s="19" t="s">
        <v>114</v>
      </c>
      <c r="C50" s="19"/>
      <c r="D50" s="28">
        <v>0.5</v>
      </c>
      <c r="F50" s="47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19"/>
      <c r="S50" s="19"/>
      <c r="T50" s="19"/>
      <c r="U50" s="19"/>
      <c r="V50" s="49"/>
      <c r="W50" s="49"/>
      <c r="X50" s="49"/>
      <c r="Y50" s="49"/>
      <c r="Z50" s="49"/>
      <c r="AA50" s="49"/>
      <c r="AB50" s="49"/>
      <c r="AC50" s="19"/>
    </row>
    <row r="51" spans="2:31" x14ac:dyDescent="0.35">
      <c r="B51" t="s">
        <v>101</v>
      </c>
      <c r="C51" s="19"/>
      <c r="D51" s="28" t="s">
        <v>144</v>
      </c>
      <c r="F51" s="47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19"/>
      <c r="S51" s="19"/>
      <c r="T51" s="19"/>
      <c r="U51" s="19"/>
      <c r="V51" s="49"/>
      <c r="W51" s="49"/>
      <c r="X51" s="49"/>
      <c r="Y51" s="49"/>
      <c r="Z51" s="49"/>
      <c r="AA51" s="49"/>
      <c r="AB51" s="49"/>
      <c r="AC51" s="19"/>
    </row>
    <row r="52" spans="2:31" x14ac:dyDescent="0.35">
      <c r="B52" t="s">
        <v>105</v>
      </c>
      <c r="C52" s="19"/>
      <c r="D52" s="28">
        <v>1</v>
      </c>
      <c r="F52" s="47"/>
      <c r="G52" s="49"/>
      <c r="H52" s="49"/>
      <c r="I52" s="49"/>
      <c r="J52" s="49"/>
      <c r="K52" s="49"/>
      <c r="L52" s="51"/>
      <c r="M52" s="51"/>
      <c r="N52" s="51"/>
      <c r="O52" s="51"/>
      <c r="P52" s="51"/>
      <c r="Q52" s="51"/>
      <c r="R52" s="30"/>
      <c r="S52" s="30"/>
      <c r="T52" s="30"/>
      <c r="U52" s="30"/>
      <c r="V52" s="51"/>
      <c r="W52" s="51"/>
      <c r="X52" s="51"/>
      <c r="Y52" s="51"/>
      <c r="Z52" s="49"/>
      <c r="AA52" s="49"/>
      <c r="AB52" s="49"/>
      <c r="AC52" s="19"/>
    </row>
    <row r="53" spans="2:31" x14ac:dyDescent="0.35">
      <c r="F53" s="47"/>
      <c r="G53" s="49"/>
      <c r="H53" s="49"/>
      <c r="I53" s="49"/>
      <c r="J53" s="49"/>
      <c r="K53" s="49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49"/>
      <c r="AA53" s="49"/>
      <c r="AB53" s="49"/>
      <c r="AC53" s="19"/>
    </row>
    <row r="54" spans="2:31" x14ac:dyDescent="0.35">
      <c r="F54" s="47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</row>
    <row r="55" spans="2:31" x14ac:dyDescent="0.35">
      <c r="F55" s="47"/>
      <c r="G55" s="47"/>
      <c r="H55" s="49"/>
      <c r="I55" s="49"/>
      <c r="J55" s="49"/>
      <c r="K55" s="49"/>
      <c r="L55" s="49"/>
      <c r="M55" s="49"/>
      <c r="N55" s="49"/>
      <c r="O55" s="49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7"/>
      <c r="AA55" s="47"/>
    </row>
    <row r="56" spans="2:31" x14ac:dyDescent="0.35">
      <c r="B56" s="1" t="s">
        <v>133</v>
      </c>
      <c r="F56" s="47"/>
      <c r="G56" s="51"/>
      <c r="H56" s="49"/>
      <c r="I56" s="49"/>
      <c r="J56" s="49"/>
      <c r="K56" s="49"/>
      <c r="L56" s="49"/>
      <c r="M56" s="49"/>
      <c r="N56" s="49"/>
      <c r="O56" s="4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</row>
    <row r="57" spans="2:31" x14ac:dyDescent="0.35">
      <c r="B57" t="s">
        <v>134</v>
      </c>
      <c r="D57" t="s">
        <v>159</v>
      </c>
      <c r="F57" s="47"/>
      <c r="G57" s="49"/>
      <c r="H57" s="49"/>
      <c r="I57" s="49"/>
      <c r="J57" s="49"/>
      <c r="K57" s="49"/>
      <c r="L57" s="49"/>
      <c r="M57" s="49"/>
      <c r="N57" s="49"/>
      <c r="O57" s="4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</row>
    <row r="58" spans="2:31" x14ac:dyDescent="0.35">
      <c r="F58" s="47"/>
      <c r="G58" s="14"/>
      <c r="H58" s="49"/>
      <c r="I58" s="49"/>
      <c r="J58" s="49"/>
      <c r="K58" s="49"/>
      <c r="L58" s="49"/>
      <c r="M58" s="49"/>
      <c r="N58" s="49"/>
      <c r="O58" s="4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</row>
    <row r="59" spans="2:31" x14ac:dyDescent="0.35">
      <c r="F59" s="47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</row>
    <row r="60" spans="2:31" x14ac:dyDescent="0.35">
      <c r="F60" s="47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</row>
    <row r="61" spans="2:31" x14ac:dyDescent="0.35">
      <c r="F61" s="47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30"/>
      <c r="S61" s="30"/>
      <c r="T61" s="30"/>
      <c r="U61" s="30"/>
      <c r="V61" s="30"/>
      <c r="W61" s="30"/>
      <c r="X61" s="30"/>
      <c r="Y61" s="30"/>
      <c r="Z61" s="19"/>
      <c r="AA61" s="19"/>
      <c r="AB61" s="19"/>
    </row>
    <row r="62" spans="2:31" x14ac:dyDescent="0.35">
      <c r="F62" s="47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30"/>
      <c r="S62" s="30"/>
      <c r="T62" s="30"/>
      <c r="U62" s="30"/>
      <c r="V62" s="30"/>
      <c r="W62" s="30"/>
      <c r="X62" s="30"/>
      <c r="Y62" s="30"/>
      <c r="Z62" s="19"/>
      <c r="AA62" s="19"/>
      <c r="AB62" s="19"/>
    </row>
    <row r="63" spans="2:31" x14ac:dyDescent="0.35"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49"/>
    </row>
    <row r="64" spans="2:31" x14ac:dyDescent="0.35"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49"/>
    </row>
    <row r="65" spans="7:28" x14ac:dyDescent="0.35"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49"/>
    </row>
    <row r="66" spans="7:28" x14ac:dyDescent="0.35"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49"/>
    </row>
    <row r="67" spans="7:28" x14ac:dyDescent="0.35"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19"/>
      <c r="S67" s="19"/>
      <c r="T67" s="19"/>
      <c r="U67" s="19"/>
      <c r="V67" s="49"/>
      <c r="W67" s="49"/>
      <c r="X67" s="49"/>
      <c r="Y67" s="49"/>
      <c r="Z67" s="49"/>
      <c r="AA67" s="49"/>
      <c r="AB67" s="49"/>
    </row>
    <row r="68" spans="7:28" x14ac:dyDescent="0.35"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19"/>
      <c r="S68" s="19"/>
      <c r="T68" s="19"/>
      <c r="U68" s="19"/>
      <c r="V68" s="49"/>
      <c r="W68" s="49"/>
      <c r="X68" s="49"/>
      <c r="Y68" s="49"/>
      <c r="Z68" s="49"/>
      <c r="AA68" s="49"/>
      <c r="AB68" s="49"/>
    </row>
    <row r="69" spans="7:28" x14ac:dyDescent="0.35"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19"/>
      <c r="S69" s="19"/>
      <c r="T69" s="19"/>
      <c r="U69" s="19"/>
      <c r="V69" s="49"/>
      <c r="W69" s="49"/>
      <c r="X69" s="49"/>
      <c r="Y69" s="49"/>
      <c r="Z69" s="49"/>
      <c r="AA69" s="49"/>
      <c r="AB69" s="49"/>
    </row>
    <row r="70" spans="7:28" x14ac:dyDescent="0.35"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19"/>
      <c r="S70" s="19"/>
      <c r="T70" s="19"/>
      <c r="U70" s="19"/>
      <c r="V70" s="49"/>
      <c r="W70" s="49"/>
      <c r="X70" s="49"/>
      <c r="Y70" s="49"/>
      <c r="Z70" s="49"/>
      <c r="AA70" s="49"/>
      <c r="AB70" s="49"/>
    </row>
    <row r="71" spans="7:28" x14ac:dyDescent="0.35"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19"/>
      <c r="S71" s="19"/>
      <c r="T71" s="19"/>
      <c r="U71" s="19"/>
      <c r="V71" s="49"/>
      <c r="W71" s="49"/>
      <c r="X71" s="49"/>
      <c r="Y71" s="49"/>
      <c r="Z71" s="49"/>
      <c r="AA71" s="49"/>
      <c r="AB71" s="49"/>
    </row>
    <row r="72" spans="7:28" x14ac:dyDescent="0.35"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19"/>
      <c r="S72" s="19"/>
      <c r="T72" s="19"/>
      <c r="U72" s="19"/>
      <c r="V72" s="49"/>
      <c r="W72" s="49"/>
      <c r="X72" s="49"/>
      <c r="Y72" s="49"/>
      <c r="Z72" s="49"/>
      <c r="AA72" s="49"/>
      <c r="AB72" s="49"/>
    </row>
    <row r="73" spans="7:28" x14ac:dyDescent="0.35"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19"/>
      <c r="S73" s="19"/>
      <c r="T73" s="19"/>
      <c r="U73" s="19"/>
      <c r="V73" s="49"/>
      <c r="W73" s="49"/>
      <c r="X73" s="49"/>
      <c r="Y73" s="49"/>
      <c r="Z73" s="49"/>
      <c r="AA73" s="49"/>
      <c r="AB73" s="49"/>
    </row>
    <row r="74" spans="7:28" x14ac:dyDescent="0.35"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</row>
    <row r="75" spans="7:28" x14ac:dyDescent="0.35"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/>
      <c r="S75"/>
      <c r="T75"/>
      <c r="U75"/>
      <c r="V75"/>
      <c r="W75"/>
      <c r="X75"/>
      <c r="Y75"/>
    </row>
    <row r="76" spans="7:28" x14ac:dyDescent="0.35"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/>
      <c r="S76"/>
      <c r="T76"/>
      <c r="U76"/>
      <c r="V76"/>
      <c r="W76"/>
      <c r="X76"/>
      <c r="Y76"/>
    </row>
    <row r="77" spans="7:28" x14ac:dyDescent="0.35"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/>
      <c r="S77"/>
      <c r="T77"/>
      <c r="U77"/>
      <c r="V77"/>
      <c r="W77"/>
      <c r="X77"/>
      <c r="Y77"/>
    </row>
    <row r="78" spans="7:28" x14ac:dyDescent="0.35"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/>
      <c r="S78"/>
      <c r="T78"/>
      <c r="U78"/>
      <c r="V78"/>
      <c r="W78"/>
      <c r="X78"/>
      <c r="Y78"/>
    </row>
    <row r="79" spans="7:28" x14ac:dyDescent="0.35"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/>
      <c r="S79"/>
      <c r="T79"/>
      <c r="U79"/>
      <c r="V79"/>
      <c r="W79"/>
      <c r="X79"/>
      <c r="Y79"/>
    </row>
    <row r="80" spans="7:28" x14ac:dyDescent="0.35"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/>
      <c r="S80"/>
      <c r="T80"/>
      <c r="U80"/>
      <c r="V80"/>
      <c r="W80"/>
      <c r="X80"/>
      <c r="Y80"/>
    </row>
    <row r="81" spans="7:25" x14ac:dyDescent="0.35"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/>
      <c r="S81"/>
      <c r="T81"/>
      <c r="U81"/>
      <c r="V81"/>
      <c r="W81"/>
      <c r="X81"/>
      <c r="Y81"/>
    </row>
    <row r="82" spans="7:25" x14ac:dyDescent="0.35"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51"/>
      <c r="S82" s="51"/>
      <c r="T82" s="51"/>
      <c r="U82" s="51"/>
      <c r="V82" s="51"/>
      <c r="W82" s="51"/>
      <c r="X82" s="51"/>
      <c r="Y82" s="51"/>
    </row>
    <row r="83" spans="7:25" x14ac:dyDescent="0.35"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51"/>
      <c r="S83" s="51"/>
      <c r="T83" s="51"/>
      <c r="U83" s="51"/>
      <c r="V83" s="51"/>
      <c r="W83" s="51"/>
      <c r="X83" s="51"/>
      <c r="Y83" s="51"/>
    </row>
    <row r="84" spans="7:25" x14ac:dyDescent="0.35"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/>
      <c r="S84"/>
      <c r="T84"/>
      <c r="U84"/>
      <c r="V84"/>
      <c r="W84"/>
      <c r="X84"/>
      <c r="Y84"/>
    </row>
    <row r="85" spans="7:25" x14ac:dyDescent="0.35"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/>
      <c r="S85"/>
      <c r="T85"/>
      <c r="U85"/>
      <c r="V85"/>
      <c r="W85"/>
      <c r="X85"/>
      <c r="Y85"/>
    </row>
    <row r="86" spans="7:25" x14ac:dyDescent="0.35"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/>
      <c r="S86"/>
      <c r="T86"/>
      <c r="U86"/>
      <c r="V86"/>
      <c r="W86"/>
      <c r="X86"/>
      <c r="Y86"/>
    </row>
    <row r="87" spans="7:25" x14ac:dyDescent="0.35"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/>
      <c r="S87"/>
      <c r="T87"/>
      <c r="U87"/>
      <c r="V87"/>
      <c r="W87"/>
      <c r="X87"/>
      <c r="Y87"/>
    </row>
    <row r="88" spans="7:25" x14ac:dyDescent="0.35"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/>
      <c r="S88"/>
      <c r="T88"/>
      <c r="U88"/>
      <c r="V88"/>
      <c r="W88"/>
      <c r="X88"/>
      <c r="Y88"/>
    </row>
    <row r="89" spans="7:25" x14ac:dyDescent="0.35"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/>
      <c r="S89"/>
      <c r="T89"/>
      <c r="U89"/>
      <c r="V89"/>
      <c r="W89"/>
      <c r="X89"/>
      <c r="Y89"/>
    </row>
    <row r="90" spans="7:25" x14ac:dyDescent="0.35"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/>
      <c r="S90"/>
      <c r="T90"/>
      <c r="U90"/>
      <c r="V90"/>
      <c r="W90"/>
      <c r="X90"/>
      <c r="Y90"/>
    </row>
    <row r="91" spans="7:25" x14ac:dyDescent="0.35"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/>
      <c r="S91"/>
      <c r="T91"/>
      <c r="U91"/>
      <c r="V91"/>
      <c r="W91"/>
      <c r="X91"/>
      <c r="Y91"/>
    </row>
    <row r="92" spans="7:25" x14ac:dyDescent="0.35"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/>
      <c r="S92"/>
      <c r="T92"/>
      <c r="U92"/>
      <c r="V92"/>
      <c r="W92"/>
      <c r="X92"/>
      <c r="Y92"/>
    </row>
    <row r="93" spans="7:25" x14ac:dyDescent="0.35"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/>
      <c r="S93"/>
      <c r="T93"/>
      <c r="U93"/>
      <c r="V93"/>
      <c r="W93"/>
      <c r="X93"/>
      <c r="Y93"/>
    </row>
    <row r="94" spans="7:25" x14ac:dyDescent="0.35">
      <c r="G94" s="34"/>
      <c r="H94" s="34"/>
      <c r="I94" s="34"/>
      <c r="J94" s="34"/>
      <c r="K94" s="34"/>
      <c r="L94" s="48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7:25" x14ac:dyDescent="0.35">
      <c r="G95" s="34"/>
      <c r="H95" s="34"/>
      <c r="I95" s="34"/>
      <c r="J95" s="34"/>
      <c r="K95" s="34"/>
      <c r="L95" s="48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7:25" x14ac:dyDescent="0.35">
      <c r="G96" s="34"/>
      <c r="H96" s="34"/>
      <c r="I96" s="34"/>
      <c r="J96" s="34"/>
      <c r="K96" s="34"/>
      <c r="L96" s="48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7:29" x14ac:dyDescent="0.35">
      <c r="G97" s="34"/>
      <c r="H97" s="34"/>
      <c r="I97" s="34"/>
      <c r="J97" s="34"/>
      <c r="K97" s="34"/>
      <c r="L97" s="48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7:29" x14ac:dyDescent="0.35">
      <c r="G98" s="34"/>
      <c r="H98" s="34"/>
      <c r="I98" s="34"/>
      <c r="J98" s="34"/>
      <c r="K98" s="34"/>
      <c r="L98" s="4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7:29" x14ac:dyDescent="0.35">
      <c r="G99" s="34"/>
      <c r="H99" s="34"/>
      <c r="I99" s="34"/>
      <c r="J99" s="34"/>
      <c r="K99" s="34"/>
      <c r="L99" s="48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7:29" x14ac:dyDescent="0.35">
      <c r="G100" s="34"/>
      <c r="H100" s="34"/>
      <c r="I100" s="34"/>
      <c r="J100" s="34"/>
      <c r="K100" s="34"/>
      <c r="L100" s="48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7:29" x14ac:dyDescent="0.35">
      <c r="G101" s="34"/>
      <c r="H101" s="34"/>
      <c r="I101" s="34"/>
      <c r="J101" s="34"/>
      <c r="K101" s="34"/>
      <c r="L101" s="48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7:29" x14ac:dyDescent="0.35">
      <c r="G102" s="34"/>
      <c r="H102" s="34"/>
      <c r="I102" s="34"/>
      <c r="J102" s="34"/>
      <c r="K102" s="34"/>
      <c r="L102" s="48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7:29" x14ac:dyDescent="0.35">
      <c r="G103" s="34"/>
      <c r="H103" s="34"/>
      <c r="I103" s="34"/>
      <c r="J103" s="34"/>
      <c r="K103" s="34"/>
      <c r="L103" s="48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7:29" x14ac:dyDescent="0.35">
      <c r="G104" s="34"/>
      <c r="H104" s="34"/>
      <c r="I104" s="34"/>
      <c r="J104" s="34"/>
      <c r="K104" s="34"/>
      <c r="L104" s="48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7:29" x14ac:dyDescent="0.35">
      <c r="G105" s="34"/>
      <c r="H105" s="34"/>
      <c r="I105" s="34"/>
      <c r="J105" s="34"/>
      <c r="K105" s="34"/>
      <c r="L105" s="48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7:29" x14ac:dyDescent="0.35">
      <c r="G106" s="34"/>
      <c r="H106" s="34"/>
      <c r="I106" s="34"/>
      <c r="J106" s="34"/>
      <c r="K106" s="34"/>
      <c r="L106" s="48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7:29" x14ac:dyDescent="0.35">
      <c r="G107" s="34"/>
      <c r="H107" s="34"/>
      <c r="I107" s="34"/>
      <c r="J107" s="34"/>
      <c r="K107" s="34"/>
      <c r="L107" s="48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7:29" x14ac:dyDescent="0.35">
      <c r="G108" s="34"/>
      <c r="H108" s="34"/>
      <c r="I108" s="34"/>
      <c r="J108" s="34"/>
      <c r="K108" s="34"/>
      <c r="L108" s="4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7:29" x14ac:dyDescent="0.35">
      <c r="G109" s="34"/>
      <c r="H109" s="34"/>
      <c r="I109" s="34"/>
      <c r="J109" s="34"/>
      <c r="K109" s="34"/>
      <c r="L109" s="48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7:29" x14ac:dyDescent="0.35">
      <c r="G110" s="34"/>
      <c r="H110" s="34"/>
      <c r="I110" s="34"/>
      <c r="J110" s="34"/>
      <c r="K110" s="34"/>
      <c r="L110" s="48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7:29" x14ac:dyDescent="0.35">
      <c r="L111" s="48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34"/>
      <c r="AA111" s="34"/>
      <c r="AB111" s="34"/>
      <c r="AC111" s="34"/>
    </row>
    <row r="112" spans="7:29" x14ac:dyDescent="0.35">
      <c r="L112" s="48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34"/>
      <c r="AA112" s="34"/>
      <c r="AB112" s="34"/>
      <c r="AC112" s="34"/>
    </row>
    <row r="113" spans="12:29" x14ac:dyDescent="0.35"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34"/>
      <c r="AA113" s="34"/>
      <c r="AB113" s="34"/>
      <c r="AC113" s="34"/>
    </row>
    <row r="114" spans="12:29" x14ac:dyDescent="0.35"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34"/>
      <c r="AA114" s="34"/>
      <c r="AB114" s="34"/>
      <c r="AC114" s="34"/>
    </row>
    <row r="115" spans="12:29" x14ac:dyDescent="0.35"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34"/>
      <c r="AA115" s="34"/>
      <c r="AB115" s="34"/>
      <c r="AC115" s="34"/>
    </row>
    <row r="121" spans="12:29" x14ac:dyDescent="0.35"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</row>
    <row r="122" spans="12:29" x14ac:dyDescent="0.35"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</row>
  </sheetData>
  <phoneticPr fontId="7" type="noConversion"/>
  <dataValidations count="1">
    <dataValidation type="list" allowBlank="1" showDropDown="1" showInputMessage="1" showErrorMessage="1" errorTitle="Invalid name" error="A configuration of this name has not been defined" sqref="D57" xr:uid="{99627BCC-9190-4848-BABA-E5ADAB947F84}">
      <formula1>$G$35:$G$1048576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4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69850</xdr:colOff>
                    <xdr:row>9</xdr:row>
                    <xdr:rowOff>50800</xdr:rowOff>
                  </from>
                  <to>
                    <xdr:col>4</xdr:col>
                    <xdr:colOff>146050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5" name="Button 9">
              <controlPr defaultSize="0" print="0" autoFill="0" autoPict="0" macro="[0]!Button8_Click">
                <anchor moveWithCells="1" sizeWithCells="1">
                  <from>
                    <xdr:col>2</xdr:col>
                    <xdr:colOff>50800</xdr:colOff>
                    <xdr:row>17</xdr:row>
                    <xdr:rowOff>76200</xdr:rowOff>
                  </from>
                  <to>
                    <xdr:col>4</xdr:col>
                    <xdr:colOff>127000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generateConfiguration">
                <anchor moveWithCells="1" sizeWithCells="1">
                  <from>
                    <xdr:col>1</xdr:col>
                    <xdr:colOff>1428750</xdr:colOff>
                    <xdr:row>52</xdr:row>
                    <xdr:rowOff>114300</xdr:rowOff>
                  </from>
                  <to>
                    <xdr:col>4</xdr:col>
                    <xdr:colOff>95250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7" name="Button 14">
              <controlPr defaultSize="0" print="0" autoFill="0" autoPict="0" macro="[0]!generateInputTables">
                <anchor moveWithCells="1" sizeWithCells="1">
                  <from>
                    <xdr:col>1</xdr:col>
                    <xdr:colOff>1422400</xdr:colOff>
                    <xdr:row>57</xdr:row>
                    <xdr:rowOff>31750</xdr:rowOff>
                  </from>
                  <to>
                    <xdr:col>4</xdr:col>
                    <xdr:colOff>88900</xdr:colOff>
                    <xdr:row>59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8" name="Add variableRealTower">
              <controlPr defaultSize="0" print="0" autoFill="0" autoPict="0" macro="[0]!addVariable">
                <anchor moveWithCells="1" siz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9" name="Button 25">
              <controlPr defaultSize="0" print="0" autoFill="0" autoPict="0" macro="[1]!addVariable">
                <anchor moveWithCells="1" siz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4811-FEDE-4101-9CF3-2833DAA480B0}">
  <sheetPr codeName="Sheet2"/>
  <dimension ref="A1:C43"/>
  <sheetViews>
    <sheetView topLeftCell="A16" workbookViewId="0">
      <selection activeCell="G32" sqref="G32"/>
    </sheetView>
  </sheetViews>
  <sheetFormatPr defaultRowHeight="14.5" x14ac:dyDescent="0.35"/>
  <cols>
    <col min="1" max="1" width="28.81640625" bestFit="1" customWidth="1"/>
    <col min="3" max="3" width="19.1796875" bestFit="1" customWidth="1"/>
  </cols>
  <sheetData>
    <row r="1" spans="1:3" x14ac:dyDescent="0.35">
      <c r="A1" s="5" t="s">
        <v>26</v>
      </c>
      <c r="B1" s="5" t="s">
        <v>27</v>
      </c>
    </row>
    <row r="2" spans="1:3" x14ac:dyDescent="0.35">
      <c r="A2" t="s">
        <v>28</v>
      </c>
      <c r="B2">
        <v>1</v>
      </c>
    </row>
    <row r="3" spans="1:3" x14ac:dyDescent="0.35">
      <c r="A3" t="s">
        <v>29</v>
      </c>
      <c r="B3">
        <v>2</v>
      </c>
    </row>
    <row r="4" spans="1:3" x14ac:dyDescent="0.35">
      <c r="A4" t="s">
        <v>30</v>
      </c>
      <c r="B4">
        <v>3</v>
      </c>
    </row>
    <row r="5" spans="1:3" x14ac:dyDescent="0.35">
      <c r="A5" t="s">
        <v>31</v>
      </c>
      <c r="B5">
        <v>4</v>
      </c>
    </row>
    <row r="6" spans="1:3" x14ac:dyDescent="0.35">
      <c r="A6" t="s">
        <v>33</v>
      </c>
      <c r="B6">
        <v>5</v>
      </c>
    </row>
    <row r="7" spans="1:3" x14ac:dyDescent="0.35">
      <c r="A7" t="s">
        <v>32</v>
      </c>
      <c r="B7">
        <v>6</v>
      </c>
    </row>
    <row r="8" spans="1:3" x14ac:dyDescent="0.35">
      <c r="A8" t="s">
        <v>37</v>
      </c>
      <c r="B8">
        <v>7</v>
      </c>
    </row>
    <row r="9" spans="1:3" x14ac:dyDescent="0.35">
      <c r="A9" t="s">
        <v>38</v>
      </c>
      <c r="B9">
        <v>4</v>
      </c>
    </row>
    <row r="10" spans="1:3" x14ac:dyDescent="0.35">
      <c r="A10" t="s">
        <v>48</v>
      </c>
      <c r="B10">
        <v>1024</v>
      </c>
      <c r="C10" s="54" t="s">
        <v>49</v>
      </c>
    </row>
    <row r="11" spans="1:3" x14ac:dyDescent="0.35">
      <c r="A11" t="s">
        <v>50</v>
      </c>
      <c r="B11" t="s">
        <v>51</v>
      </c>
      <c r="C11" s="54"/>
    </row>
    <row r="12" spans="1:3" x14ac:dyDescent="0.35">
      <c r="A12" t="s">
        <v>52</v>
      </c>
      <c r="B12" t="s">
        <v>53</v>
      </c>
      <c r="C12" s="54"/>
    </row>
    <row r="13" spans="1:3" x14ac:dyDescent="0.35">
      <c r="A13" t="s">
        <v>54</v>
      </c>
      <c r="B13" t="s">
        <v>55</v>
      </c>
      <c r="C13" s="54"/>
    </row>
    <row r="14" spans="1:3" x14ac:dyDescent="0.35">
      <c r="A14" t="s">
        <v>56</v>
      </c>
      <c r="B14" t="s">
        <v>59</v>
      </c>
      <c r="C14" s="54"/>
    </row>
    <row r="15" spans="1:3" x14ac:dyDescent="0.35">
      <c r="A15" t="s">
        <v>58</v>
      </c>
      <c r="B15" t="s">
        <v>126</v>
      </c>
      <c r="C15" s="54"/>
    </row>
    <row r="16" spans="1:3" x14ac:dyDescent="0.35">
      <c r="A16" t="s">
        <v>60</v>
      </c>
      <c r="B16" t="s">
        <v>63</v>
      </c>
      <c r="C16" s="54"/>
    </row>
    <row r="17" spans="1:3" x14ac:dyDescent="0.35">
      <c r="A17" t="s">
        <v>62</v>
      </c>
      <c r="B17" t="s">
        <v>88</v>
      </c>
      <c r="C17" s="54"/>
    </row>
    <row r="18" spans="1:3" x14ac:dyDescent="0.35">
      <c r="A18" t="s">
        <v>64</v>
      </c>
      <c r="B18" t="s">
        <v>57</v>
      </c>
      <c r="C18" s="54"/>
    </row>
    <row r="19" spans="1:3" x14ac:dyDescent="0.35">
      <c r="A19" t="s">
        <v>65</v>
      </c>
      <c r="B19" t="s">
        <v>127</v>
      </c>
      <c r="C19" s="54"/>
    </row>
    <row r="20" spans="1:3" x14ac:dyDescent="0.35">
      <c r="A20" t="s">
        <v>87</v>
      </c>
      <c r="B20" t="s">
        <v>68</v>
      </c>
      <c r="C20" s="15"/>
    </row>
    <row r="21" spans="1:3" x14ac:dyDescent="0.35">
      <c r="A21" t="s">
        <v>66</v>
      </c>
      <c r="B21" t="s">
        <v>51</v>
      </c>
    </row>
    <row r="22" spans="1:3" x14ac:dyDescent="0.35">
      <c r="A22" t="s">
        <v>67</v>
      </c>
      <c r="B22" t="s">
        <v>53</v>
      </c>
    </row>
    <row r="23" spans="1:3" x14ac:dyDescent="0.35">
      <c r="A23" t="s">
        <v>72</v>
      </c>
      <c r="B23" t="s">
        <v>51</v>
      </c>
    </row>
    <row r="24" spans="1:3" x14ac:dyDescent="0.35">
      <c r="A24" t="s">
        <v>73</v>
      </c>
      <c r="B24" t="s">
        <v>68</v>
      </c>
    </row>
    <row r="25" spans="1:3" x14ac:dyDescent="0.35">
      <c r="A25" t="s">
        <v>74</v>
      </c>
      <c r="B25" t="s">
        <v>59</v>
      </c>
    </row>
    <row r="26" spans="1:3" x14ac:dyDescent="0.35">
      <c r="A26" t="s">
        <v>75</v>
      </c>
      <c r="B26" t="s">
        <v>61</v>
      </c>
    </row>
    <row r="27" spans="1:3" x14ac:dyDescent="0.35">
      <c r="A27" t="s">
        <v>76</v>
      </c>
      <c r="B27" t="s">
        <v>51</v>
      </c>
    </row>
    <row r="28" spans="1:3" x14ac:dyDescent="0.35">
      <c r="A28" t="s">
        <v>77</v>
      </c>
      <c r="B28" t="s">
        <v>68</v>
      </c>
    </row>
    <row r="29" spans="1:3" x14ac:dyDescent="0.35">
      <c r="A29" t="s">
        <v>78</v>
      </c>
      <c r="B29" t="s">
        <v>59</v>
      </c>
    </row>
    <row r="30" spans="1:3" x14ac:dyDescent="0.35">
      <c r="A30" t="s">
        <v>79</v>
      </c>
      <c r="B30" t="s">
        <v>61</v>
      </c>
    </row>
    <row r="31" spans="1:3" x14ac:dyDescent="0.35">
      <c r="A31" t="s">
        <v>80</v>
      </c>
      <c r="B31" t="s">
        <v>57</v>
      </c>
    </row>
    <row r="32" spans="1:3" s="49" customFormat="1" x14ac:dyDescent="0.35">
      <c r="A32" s="49" t="s">
        <v>155</v>
      </c>
      <c r="B32" s="49">
        <f>Interface!I13</f>
        <v>26600</v>
      </c>
    </row>
    <row r="33" spans="1:2" s="49" customFormat="1" x14ac:dyDescent="0.35">
      <c r="A33" s="49" t="s">
        <v>156</v>
      </c>
      <c r="B33" s="49">
        <f>Interface!I14</f>
        <v>1E-3</v>
      </c>
    </row>
    <row r="34" spans="1:2" s="49" customFormat="1" x14ac:dyDescent="0.35">
      <c r="A34" s="49" t="s">
        <v>157</v>
      </c>
      <c r="B34" s="49">
        <f>Interface!I15</f>
        <v>35800</v>
      </c>
    </row>
    <row r="35" spans="1:2" s="49" customFormat="1" x14ac:dyDescent="0.35">
      <c r="A35" s="49" t="s">
        <v>158</v>
      </c>
      <c r="B35" s="49">
        <f>Interface!I16</f>
        <v>1E-3</v>
      </c>
    </row>
    <row r="36" spans="1:2" x14ac:dyDescent="0.35">
      <c r="A36" t="s">
        <v>83</v>
      </c>
      <c r="B36" t="str">
        <f>Interface!I5</f>
        <v>C:\Users\kotab\OneDrive - University of Toronto\Autobuilder 2.0</v>
      </c>
    </row>
    <row r="37" spans="1:2" x14ac:dyDescent="0.35">
      <c r="A37" t="s">
        <v>82</v>
      </c>
      <c r="B37" t="str">
        <f>Interface!I6</f>
        <v>C:\Users\kotab\OneDrive - University of Toronto\Autobuilder 2.0</v>
      </c>
    </row>
    <row r="38" spans="1:2" x14ac:dyDescent="0.35">
      <c r="A38" t="s">
        <v>139</v>
      </c>
      <c r="B38" t="str">
        <f>Interface!I7</f>
        <v>C:\Users\kotab\OneDrive - University of Toronto\Auto-builder\GM1.txt</v>
      </c>
    </row>
    <row r="39" spans="1:2" x14ac:dyDescent="0.35">
      <c r="A39" t="s">
        <v>140</v>
      </c>
      <c r="B39" s="49" t="str">
        <f>Interface!I8</f>
        <v>C:\Users\kotab\OneDrive - University of Toronto\Auto-builder\GM2.txt</v>
      </c>
    </row>
    <row r="41" spans="1:2" x14ac:dyDescent="0.35">
      <c r="B41" t="s">
        <v>136</v>
      </c>
    </row>
    <row r="42" spans="1:2" x14ac:dyDescent="0.35">
      <c r="B42" t="s">
        <v>136</v>
      </c>
    </row>
    <row r="43" spans="1:2" x14ac:dyDescent="0.35">
      <c r="B43" t="s">
        <v>137</v>
      </c>
    </row>
  </sheetData>
  <mergeCells count="1">
    <mergeCell ref="C10:C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8BD7A-1168-4EE3-A8DD-8254CC158A6A}">
  <sheetPr codeName="Sheet3"/>
  <dimension ref="A1:D202"/>
  <sheetViews>
    <sheetView tabSelected="1" zoomScale="85" zoomScaleNormal="85" workbookViewId="0">
      <selection activeCell="B10" sqref="B10"/>
    </sheetView>
  </sheetViews>
  <sheetFormatPr defaultColWidth="8.7265625" defaultRowHeight="14.5" x14ac:dyDescent="0.35"/>
  <cols>
    <col min="1" max="2" width="8.7265625" style="4"/>
    <col min="3" max="3" width="7.453125" style="4" customWidth="1"/>
    <col min="4" max="16384" width="8.7265625" style="4"/>
  </cols>
  <sheetData>
    <row r="1" spans="1:4" x14ac:dyDescent="0.35">
      <c r="A1" s="4" t="s">
        <v>152</v>
      </c>
      <c r="B1" s="4">
        <v>1</v>
      </c>
    </row>
    <row r="2" spans="1:4" x14ac:dyDescent="0.35">
      <c r="A2" s="4" t="s">
        <v>152</v>
      </c>
      <c r="B2" s="4">
        <v>1</v>
      </c>
    </row>
    <row r="3" spans="1:4" x14ac:dyDescent="0.35">
      <c r="A3" s="4" t="s">
        <v>119</v>
      </c>
      <c r="B3" s="4">
        <v>12</v>
      </c>
    </row>
    <row r="4" spans="1:4" x14ac:dyDescent="0.35">
      <c r="A4" s="4" t="s">
        <v>120</v>
      </c>
      <c r="B4" s="4">
        <v>12</v>
      </c>
    </row>
    <row r="6" spans="1:4" x14ac:dyDescent="0.35">
      <c r="A6" s="51" t="s">
        <v>160</v>
      </c>
      <c r="B6" s="51"/>
      <c r="C6" s="51" t="s">
        <v>162</v>
      </c>
    </row>
    <row r="7" spans="1:4" x14ac:dyDescent="0.35">
      <c r="A7" s="4" t="s">
        <v>161</v>
      </c>
      <c r="B7" s="4" t="s">
        <v>14</v>
      </c>
      <c r="C7" s="4" t="s">
        <v>19</v>
      </c>
      <c r="D7" s="4" t="s">
        <v>21</v>
      </c>
    </row>
    <row r="8" spans="1:4" x14ac:dyDescent="0.35">
      <c r="A8" s="4">
        <v>1</v>
      </c>
      <c r="B8" s="4">
        <v>1</v>
      </c>
      <c r="C8" s="4">
        <v>12</v>
      </c>
      <c r="D8" s="4" t="s">
        <v>172</v>
      </c>
    </row>
    <row r="9" spans="1:4" x14ac:dyDescent="0.35">
      <c r="A9" s="19">
        <v>2</v>
      </c>
      <c r="B9" s="19">
        <v>3</v>
      </c>
      <c r="C9" s="19"/>
      <c r="D9" s="19"/>
    </row>
    <row r="10" spans="1:4" x14ac:dyDescent="0.35">
      <c r="A10" s="19"/>
      <c r="B10" s="19"/>
      <c r="C10" s="19"/>
      <c r="D10" s="19"/>
    </row>
    <row r="11" spans="1:4" x14ac:dyDescent="0.35">
      <c r="A11" s="19"/>
      <c r="B11" s="19"/>
      <c r="C11" s="19"/>
      <c r="D11" s="19"/>
    </row>
    <row r="18" spans="1:4" x14ac:dyDescent="0.35">
      <c r="A18" s="51"/>
      <c r="B18" s="51"/>
      <c r="C18" s="51"/>
    </row>
    <row r="21" spans="1:4" x14ac:dyDescent="0.35">
      <c r="A21" s="19"/>
      <c r="B21" s="19"/>
      <c r="C21" s="19"/>
      <c r="D21" s="19"/>
    </row>
    <row r="22" spans="1:4" x14ac:dyDescent="0.35">
      <c r="A22" s="19"/>
      <c r="B22" s="19"/>
      <c r="C22" s="19"/>
      <c r="D22" s="19"/>
    </row>
    <row r="23" spans="1:4" x14ac:dyDescent="0.35">
      <c r="A23" s="19"/>
      <c r="B23" s="19"/>
      <c r="C23" s="19"/>
      <c r="D23" s="19"/>
    </row>
    <row r="30" spans="1:4" x14ac:dyDescent="0.35">
      <c r="A30" s="51"/>
      <c r="B30" s="51"/>
      <c r="C30" s="51"/>
    </row>
    <row r="33" spans="1:4" x14ac:dyDescent="0.35">
      <c r="A33" s="19"/>
      <c r="B33" s="19"/>
      <c r="C33" s="19"/>
      <c r="D33" s="19"/>
    </row>
    <row r="34" spans="1:4" x14ac:dyDescent="0.35">
      <c r="A34" s="19"/>
      <c r="B34" s="19"/>
      <c r="C34" s="19"/>
      <c r="D34" s="19"/>
    </row>
    <row r="35" spans="1:4" x14ac:dyDescent="0.35">
      <c r="A35" s="19"/>
      <c r="B35" s="19"/>
      <c r="C35" s="19"/>
      <c r="D35" s="19"/>
    </row>
    <row r="42" spans="1:4" x14ac:dyDescent="0.35">
      <c r="A42" s="51"/>
      <c r="B42" s="51"/>
      <c r="C42" s="51"/>
    </row>
    <row r="45" spans="1:4" x14ac:dyDescent="0.35">
      <c r="A45" s="19"/>
      <c r="B45" s="19"/>
      <c r="C45" s="19"/>
      <c r="D45" s="19"/>
    </row>
    <row r="46" spans="1:4" x14ac:dyDescent="0.35">
      <c r="A46" s="19"/>
      <c r="B46" s="19"/>
      <c r="C46" s="19"/>
      <c r="D46" s="19"/>
    </row>
    <row r="47" spans="1:4" x14ac:dyDescent="0.35">
      <c r="A47" s="19"/>
      <c r="B47" s="19"/>
      <c r="C47" s="19"/>
      <c r="D47" s="19"/>
    </row>
    <row r="54" spans="1:4" x14ac:dyDescent="0.35">
      <c r="A54" s="51"/>
      <c r="B54" s="51"/>
      <c r="C54" s="51"/>
    </row>
    <row r="57" spans="1:4" x14ac:dyDescent="0.35">
      <c r="A57" s="19"/>
      <c r="B57" s="19"/>
      <c r="C57" s="19"/>
      <c r="D57" s="19"/>
    </row>
    <row r="58" spans="1:4" x14ac:dyDescent="0.35">
      <c r="A58" s="19"/>
      <c r="B58" s="19"/>
      <c r="C58" s="19"/>
      <c r="D58" s="19"/>
    </row>
    <row r="59" spans="1:4" x14ac:dyDescent="0.35">
      <c r="A59" s="19"/>
      <c r="B59" s="19"/>
      <c r="C59" s="19"/>
      <c r="D59" s="19"/>
    </row>
    <row r="66" spans="1:4" x14ac:dyDescent="0.35">
      <c r="A66" s="51"/>
      <c r="B66" s="51"/>
      <c r="C66" s="51"/>
    </row>
    <row r="69" spans="1:4" x14ac:dyDescent="0.35">
      <c r="A69" s="19"/>
      <c r="B69" s="19"/>
      <c r="C69" s="19"/>
      <c r="D69" s="19"/>
    </row>
    <row r="70" spans="1:4" x14ac:dyDescent="0.35">
      <c r="A70" s="19"/>
      <c r="B70" s="19"/>
      <c r="C70" s="19"/>
      <c r="D70" s="19"/>
    </row>
    <row r="71" spans="1:4" x14ac:dyDescent="0.35">
      <c r="A71" s="19"/>
      <c r="B71" s="19"/>
      <c r="C71" s="19"/>
      <c r="D71" s="19"/>
    </row>
    <row r="78" spans="1:4" x14ac:dyDescent="0.35">
      <c r="A78" s="51"/>
      <c r="B78" s="51"/>
      <c r="C78" s="51"/>
    </row>
    <row r="81" spans="1:4" x14ac:dyDescent="0.35">
      <c r="A81" s="19"/>
      <c r="B81" s="19"/>
      <c r="C81" s="19"/>
      <c r="D81" s="19"/>
    </row>
    <row r="82" spans="1:4" x14ac:dyDescent="0.35">
      <c r="A82" s="19"/>
      <c r="B82" s="19"/>
      <c r="C82" s="19"/>
      <c r="D82" s="19"/>
    </row>
    <row r="83" spans="1:4" x14ac:dyDescent="0.35">
      <c r="A83" s="19"/>
      <c r="B83" s="19"/>
      <c r="C83" s="19"/>
      <c r="D83" s="19"/>
    </row>
    <row r="90" spans="1:4" x14ac:dyDescent="0.35">
      <c r="A90" s="51"/>
      <c r="B90" s="51"/>
      <c r="C90" s="51"/>
    </row>
    <row r="93" spans="1:4" x14ac:dyDescent="0.35">
      <c r="A93" s="19"/>
      <c r="B93" s="19"/>
      <c r="C93" s="19"/>
      <c r="D93" s="19"/>
    </row>
    <row r="94" spans="1:4" x14ac:dyDescent="0.35">
      <c r="A94" s="19"/>
      <c r="B94" s="19"/>
      <c r="C94" s="19"/>
      <c r="D94" s="19"/>
    </row>
    <row r="95" spans="1:4" x14ac:dyDescent="0.35">
      <c r="A95" s="19"/>
      <c r="B95" s="19"/>
      <c r="C95" s="19"/>
      <c r="D95" s="19"/>
    </row>
    <row r="102" spans="1:4" x14ac:dyDescent="0.35">
      <c r="A102" s="51"/>
      <c r="B102" s="51"/>
      <c r="C102" s="51"/>
    </row>
    <row r="105" spans="1:4" x14ac:dyDescent="0.35">
      <c r="A105" s="19"/>
      <c r="B105" s="19"/>
      <c r="C105" s="19"/>
      <c r="D105" s="19"/>
    </row>
    <row r="106" spans="1:4" x14ac:dyDescent="0.35">
      <c r="A106" s="19"/>
      <c r="B106" s="19"/>
      <c r="C106" s="19"/>
      <c r="D106" s="19"/>
    </row>
    <row r="107" spans="1:4" x14ac:dyDescent="0.35">
      <c r="A107" s="19"/>
      <c r="B107" s="19"/>
      <c r="C107" s="19"/>
      <c r="D107" s="19"/>
    </row>
    <row r="114" spans="1:4" x14ac:dyDescent="0.35">
      <c r="A114" s="51"/>
      <c r="B114" s="51"/>
      <c r="C114" s="51"/>
    </row>
    <row r="117" spans="1:4" x14ac:dyDescent="0.35">
      <c r="A117" s="19"/>
      <c r="B117" s="19"/>
      <c r="C117" s="19"/>
      <c r="D117" s="19"/>
    </row>
    <row r="118" spans="1:4" x14ac:dyDescent="0.35">
      <c r="A118" s="19"/>
      <c r="B118" s="19"/>
      <c r="C118" s="19"/>
      <c r="D118" s="19"/>
    </row>
    <row r="119" spans="1:4" x14ac:dyDescent="0.35">
      <c r="A119" s="19"/>
      <c r="B119" s="19"/>
      <c r="C119" s="19"/>
      <c r="D119" s="19"/>
    </row>
    <row r="126" spans="1:4" x14ac:dyDescent="0.35">
      <c r="A126" s="51"/>
      <c r="B126" s="51"/>
      <c r="C126" s="51"/>
    </row>
    <row r="129" spans="1:4" x14ac:dyDescent="0.35">
      <c r="A129" s="19"/>
      <c r="B129" s="19"/>
      <c r="C129" s="19"/>
      <c r="D129" s="19"/>
    </row>
    <row r="130" spans="1:4" x14ac:dyDescent="0.35">
      <c r="A130" s="19"/>
      <c r="B130" s="19"/>
      <c r="C130" s="19"/>
      <c r="D130" s="19"/>
    </row>
    <row r="131" spans="1:4" x14ac:dyDescent="0.35">
      <c r="A131" s="19"/>
      <c r="B131" s="19"/>
      <c r="C131" s="19"/>
      <c r="D131" s="19"/>
    </row>
    <row r="138" spans="1:4" x14ac:dyDescent="0.35">
      <c r="A138" s="51"/>
      <c r="B138" s="51"/>
      <c r="C138" s="51"/>
    </row>
    <row r="141" spans="1:4" x14ac:dyDescent="0.35">
      <c r="A141" s="19"/>
      <c r="B141" s="19"/>
      <c r="C141" s="19"/>
      <c r="D141" s="19"/>
    </row>
    <row r="142" spans="1:4" x14ac:dyDescent="0.35">
      <c r="A142" s="19"/>
      <c r="B142" s="19"/>
      <c r="C142" s="19"/>
      <c r="D142" s="19"/>
    </row>
    <row r="143" spans="1:4" x14ac:dyDescent="0.35">
      <c r="A143" s="19"/>
      <c r="B143" s="19"/>
      <c r="C143" s="19"/>
      <c r="D143" s="19"/>
    </row>
    <row r="150" spans="1:4" x14ac:dyDescent="0.35">
      <c r="A150" s="51"/>
      <c r="B150" s="51"/>
      <c r="C150" s="51"/>
    </row>
    <row r="153" spans="1:4" x14ac:dyDescent="0.35">
      <c r="A153" s="19"/>
      <c r="B153" s="19"/>
      <c r="C153" s="19"/>
      <c r="D153" s="19"/>
    </row>
    <row r="154" spans="1:4" x14ac:dyDescent="0.35">
      <c r="A154" s="19"/>
      <c r="B154" s="19"/>
      <c r="C154" s="19"/>
      <c r="D154" s="19"/>
    </row>
    <row r="155" spans="1:4" x14ac:dyDescent="0.35">
      <c r="A155" s="19"/>
      <c r="B155" s="19"/>
      <c r="C155" s="19"/>
      <c r="D155" s="19"/>
    </row>
    <row r="162" spans="1:4" x14ac:dyDescent="0.35">
      <c r="A162" s="51"/>
      <c r="B162" s="51"/>
      <c r="C162" s="51"/>
    </row>
    <row r="165" spans="1:4" x14ac:dyDescent="0.35">
      <c r="A165" s="19"/>
      <c r="B165" s="19"/>
      <c r="C165" s="19"/>
      <c r="D165" s="19"/>
    </row>
    <row r="166" spans="1:4" x14ac:dyDescent="0.35">
      <c r="A166" s="19"/>
      <c r="B166" s="19"/>
      <c r="C166" s="19"/>
      <c r="D166" s="19"/>
    </row>
    <row r="167" spans="1:4" x14ac:dyDescent="0.35">
      <c r="A167" s="19"/>
      <c r="B167" s="19"/>
      <c r="C167" s="19"/>
      <c r="D167" s="19"/>
    </row>
    <row r="174" spans="1:4" x14ac:dyDescent="0.35">
      <c r="A174" s="51"/>
      <c r="B174" s="51"/>
      <c r="C174" s="51"/>
    </row>
    <row r="177" spans="1:4" x14ac:dyDescent="0.35">
      <c r="A177" s="19"/>
      <c r="B177" s="19"/>
      <c r="C177" s="19"/>
      <c r="D177" s="19"/>
    </row>
    <row r="178" spans="1:4" x14ac:dyDescent="0.35">
      <c r="A178" s="19"/>
      <c r="B178" s="19"/>
      <c r="C178" s="19"/>
      <c r="D178" s="19"/>
    </row>
    <row r="179" spans="1:4" x14ac:dyDescent="0.35">
      <c r="A179" s="19"/>
      <c r="B179" s="19"/>
      <c r="C179" s="19"/>
      <c r="D179" s="19"/>
    </row>
    <row r="186" spans="1:4" x14ac:dyDescent="0.35">
      <c r="A186" s="51"/>
      <c r="B186" s="51"/>
      <c r="C186" s="51"/>
    </row>
    <row r="189" spans="1:4" x14ac:dyDescent="0.35">
      <c r="A189" s="19"/>
      <c r="B189" s="19"/>
      <c r="C189" s="19"/>
      <c r="D189" s="19"/>
    </row>
    <row r="190" spans="1:4" x14ac:dyDescent="0.35">
      <c r="A190" s="19"/>
      <c r="B190" s="19"/>
      <c r="C190" s="19"/>
      <c r="D190" s="19"/>
    </row>
    <row r="191" spans="1:4" x14ac:dyDescent="0.35">
      <c r="A191" s="19"/>
      <c r="B191" s="19"/>
      <c r="C191" s="19"/>
      <c r="D191" s="19"/>
    </row>
    <row r="197" spans="1:4" x14ac:dyDescent="0.35">
      <c r="A197" s="51"/>
      <c r="B197" s="51"/>
      <c r="C197" s="51"/>
    </row>
    <row r="200" spans="1:4" x14ac:dyDescent="0.35">
      <c r="A200" s="19"/>
      <c r="B200" s="19"/>
      <c r="C200" s="19"/>
      <c r="D200" s="19"/>
    </row>
    <row r="201" spans="1:4" x14ac:dyDescent="0.35">
      <c r="A201" s="19"/>
      <c r="B201" s="19"/>
      <c r="C201" s="19"/>
      <c r="D201" s="19"/>
    </row>
    <row r="202" spans="1:4" x14ac:dyDescent="0.35">
      <c r="A202" s="19"/>
      <c r="B202" s="19"/>
      <c r="C202" s="19"/>
      <c r="D202" s="19"/>
    </row>
  </sheetData>
  <dataConsolidate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01ECA-AA19-4230-9591-9FFDDFD6DF70}">
  <dimension ref="A1:I7"/>
  <sheetViews>
    <sheetView workbookViewId="0">
      <selection activeCell="F10" sqref="F10"/>
    </sheetView>
  </sheetViews>
  <sheetFormatPr defaultRowHeight="14.5" x14ac:dyDescent="0.35"/>
  <cols>
    <col min="1" max="1" width="10.26953125" bestFit="1" customWidth="1"/>
    <col min="6" max="6" width="10.26953125" bestFit="1" customWidth="1"/>
  </cols>
  <sheetData>
    <row r="1" spans="1:9" x14ac:dyDescent="0.35">
      <c r="A1" t="s">
        <v>161</v>
      </c>
      <c r="B1">
        <v>1</v>
      </c>
      <c r="F1" t="s">
        <v>161</v>
      </c>
      <c r="G1">
        <v>2</v>
      </c>
    </row>
    <row r="3" spans="1:9" x14ac:dyDescent="0.35">
      <c r="A3" t="s">
        <v>166</v>
      </c>
      <c r="B3" t="s">
        <v>163</v>
      </c>
      <c r="C3" t="s">
        <v>164</v>
      </c>
      <c r="D3" t="s">
        <v>165</v>
      </c>
      <c r="F3" s="49" t="s">
        <v>166</v>
      </c>
      <c r="G3" s="49" t="s">
        <v>163</v>
      </c>
      <c r="H3" s="49" t="s">
        <v>164</v>
      </c>
      <c r="I3" s="49" t="s">
        <v>165</v>
      </c>
    </row>
    <row r="4" spans="1:9" x14ac:dyDescent="0.35">
      <c r="A4" t="s">
        <v>168</v>
      </c>
      <c r="B4">
        <v>0</v>
      </c>
      <c r="C4" s="49">
        <v>0</v>
      </c>
      <c r="D4">
        <v>0</v>
      </c>
      <c r="E4" s="49"/>
      <c r="F4" s="49" t="s">
        <v>168</v>
      </c>
      <c r="G4" s="49">
        <v>12</v>
      </c>
      <c r="H4" s="49">
        <v>7.5</v>
      </c>
      <c r="I4" s="49">
        <v>0</v>
      </c>
    </row>
    <row r="5" spans="1:9" x14ac:dyDescent="0.35">
      <c r="A5" t="s">
        <v>169</v>
      </c>
      <c r="B5">
        <v>0</v>
      </c>
      <c r="C5" s="49">
        <v>0</v>
      </c>
      <c r="D5">
        <v>6</v>
      </c>
      <c r="E5" s="49"/>
      <c r="F5" s="49" t="s">
        <v>169</v>
      </c>
      <c r="G5" s="49">
        <v>12</v>
      </c>
      <c r="H5" s="49">
        <v>7.5</v>
      </c>
      <c r="I5" s="49">
        <v>6</v>
      </c>
    </row>
    <row r="6" spans="1:9" x14ac:dyDescent="0.35">
      <c r="A6" t="s">
        <v>170</v>
      </c>
      <c r="B6">
        <v>4.5</v>
      </c>
      <c r="C6" s="49">
        <v>0</v>
      </c>
      <c r="D6">
        <v>6</v>
      </c>
      <c r="E6" s="49"/>
      <c r="F6" s="49" t="s">
        <v>170</v>
      </c>
      <c r="G6" s="49">
        <v>12</v>
      </c>
      <c r="H6" s="49">
        <v>12</v>
      </c>
      <c r="I6" s="49">
        <v>6</v>
      </c>
    </row>
    <row r="7" spans="1:9" x14ac:dyDescent="0.35">
      <c r="A7" t="s">
        <v>171</v>
      </c>
      <c r="B7">
        <v>4.5</v>
      </c>
      <c r="C7">
        <v>0</v>
      </c>
      <c r="D7">
        <v>0</v>
      </c>
      <c r="F7" s="49" t="s">
        <v>171</v>
      </c>
      <c r="G7" s="49">
        <v>12</v>
      </c>
      <c r="H7" s="49">
        <v>12</v>
      </c>
      <c r="I7" s="4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32C7-05BF-496A-82D5-04D17F9BA471}">
  <sheetPr codeName="Sheet4"/>
  <dimension ref="A1:H58"/>
  <sheetViews>
    <sheetView workbookViewId="0"/>
  </sheetViews>
  <sheetFormatPr defaultRowHeight="14.5" x14ac:dyDescent="0.35"/>
  <cols>
    <col min="1" max="1" width="12.453125" bestFit="1" customWidth="1"/>
    <col min="2" max="2" width="14" bestFit="1" customWidth="1"/>
    <col min="3" max="3" width="13.54296875" bestFit="1" customWidth="1"/>
    <col min="4" max="4" width="10.1796875" bestFit="1" customWidth="1"/>
    <col min="6" max="6" width="10.54296875" bestFit="1" customWidth="1"/>
    <col min="7" max="7" width="9.81640625" bestFit="1" customWidth="1"/>
  </cols>
  <sheetData>
    <row r="1" spans="1:8" x14ac:dyDescent="0.35">
      <c r="A1" s="2" t="s">
        <v>18</v>
      </c>
      <c r="B1" s="5">
        <v>1</v>
      </c>
      <c r="C1" s="5"/>
      <c r="D1" s="5"/>
      <c r="E1" s="5"/>
      <c r="F1" s="5"/>
      <c r="G1" s="5"/>
      <c r="H1" s="5"/>
    </row>
    <row r="3" spans="1:8" x14ac:dyDescent="0.35">
      <c r="A3" s="12" t="s">
        <v>20</v>
      </c>
      <c r="B3" s="12" t="s">
        <v>46</v>
      </c>
      <c r="C3" s="12" t="s">
        <v>47</v>
      </c>
      <c r="D3" s="12" t="s">
        <v>81</v>
      </c>
      <c r="E3" s="9" t="s">
        <v>45</v>
      </c>
      <c r="F3" s="10" t="s">
        <v>44</v>
      </c>
      <c r="G3" s="9" t="s">
        <v>42</v>
      </c>
      <c r="H3" s="9" t="s">
        <v>43</v>
      </c>
    </row>
    <row r="4" spans="1:8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147</v>
      </c>
      <c r="G4">
        <v>1</v>
      </c>
      <c r="H4">
        <v>5</v>
      </c>
    </row>
    <row r="5" spans="1:8" x14ac:dyDescent="0.35">
      <c r="A5">
        <v>2</v>
      </c>
      <c r="B5">
        <v>1</v>
      </c>
      <c r="C5">
        <v>0</v>
      </c>
      <c r="D5">
        <v>0</v>
      </c>
      <c r="E5">
        <v>2</v>
      </c>
      <c r="F5" t="s">
        <v>147</v>
      </c>
      <c r="G5">
        <v>5</v>
      </c>
      <c r="H5">
        <v>2</v>
      </c>
    </row>
    <row r="6" spans="1:8" x14ac:dyDescent="0.35">
      <c r="A6">
        <v>3</v>
      </c>
      <c r="B6">
        <v>1</v>
      </c>
      <c r="C6">
        <v>1</v>
      </c>
      <c r="D6">
        <v>0</v>
      </c>
      <c r="E6">
        <v>3</v>
      </c>
      <c r="F6" t="s">
        <v>147</v>
      </c>
      <c r="G6">
        <v>2</v>
      </c>
      <c r="H6">
        <v>3</v>
      </c>
    </row>
    <row r="7" spans="1:8" x14ac:dyDescent="0.35">
      <c r="A7">
        <v>4</v>
      </c>
      <c r="B7">
        <v>0</v>
      </c>
      <c r="C7">
        <v>1</v>
      </c>
      <c r="D7">
        <v>0</v>
      </c>
      <c r="E7">
        <v>4</v>
      </c>
      <c r="F7" t="s">
        <v>147</v>
      </c>
      <c r="G7">
        <v>3</v>
      </c>
      <c r="H7">
        <v>6</v>
      </c>
    </row>
    <row r="8" spans="1:8" x14ac:dyDescent="0.35">
      <c r="A8" s="14">
        <v>5</v>
      </c>
      <c r="B8">
        <v>0.5</v>
      </c>
      <c r="C8">
        <v>0</v>
      </c>
      <c r="D8">
        <v>1</v>
      </c>
      <c r="E8">
        <v>5</v>
      </c>
      <c r="F8" t="s">
        <v>147</v>
      </c>
      <c r="G8">
        <v>6</v>
      </c>
      <c r="H8">
        <v>4</v>
      </c>
    </row>
    <row r="9" spans="1:8" x14ac:dyDescent="0.35">
      <c r="A9" s="14">
        <v>6</v>
      </c>
      <c r="B9">
        <v>0.5</v>
      </c>
      <c r="C9">
        <v>1</v>
      </c>
      <c r="D9">
        <v>1</v>
      </c>
      <c r="E9">
        <v>6</v>
      </c>
      <c r="F9" t="s">
        <v>147</v>
      </c>
      <c r="G9">
        <v>4</v>
      </c>
      <c r="H9">
        <v>1</v>
      </c>
    </row>
    <row r="14" spans="1:8" x14ac:dyDescent="0.35">
      <c r="A14" t="s">
        <v>86</v>
      </c>
    </row>
    <row r="58" spans="6:6" x14ac:dyDescent="0.35">
      <c r="F58" t="s">
        <v>84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E7801-5755-4C0D-A302-D4F6F06470E2}">
  <sheetPr codeName="Sheet5"/>
  <dimension ref="A1:N17"/>
  <sheetViews>
    <sheetView workbookViewId="0">
      <selection activeCell="B4" sqref="B4"/>
    </sheetView>
  </sheetViews>
  <sheetFormatPr defaultRowHeight="14.5" x14ac:dyDescent="0.35"/>
  <cols>
    <col min="1" max="1" width="28.81640625" bestFit="1" customWidth="1"/>
    <col min="4" max="4" width="28.81640625" bestFit="1" customWidth="1"/>
    <col min="5" max="5" width="14.54296875" bestFit="1" customWidth="1"/>
    <col min="13" max="13" width="28.54296875" bestFit="1" customWidth="1"/>
    <col min="14" max="14" width="14.81640625" customWidth="1"/>
  </cols>
  <sheetData>
    <row r="1" spans="1:14" s="1" customFormat="1" x14ac:dyDescent="0.35">
      <c r="A1" s="50" t="s">
        <v>21</v>
      </c>
      <c r="B1" s="50">
        <v>1</v>
      </c>
      <c r="C1" s="49"/>
      <c r="D1" s="50" t="s">
        <v>21</v>
      </c>
      <c r="E1" s="50">
        <v>2</v>
      </c>
      <c r="F1" s="49"/>
      <c r="G1" s="50" t="s">
        <v>21</v>
      </c>
      <c r="H1" s="50">
        <v>3</v>
      </c>
      <c r="I1" s="49"/>
      <c r="J1" s="50" t="s">
        <v>21</v>
      </c>
      <c r="K1" s="50">
        <v>4</v>
      </c>
      <c r="M1" s="2" t="s">
        <v>21</v>
      </c>
      <c r="N1" s="2">
        <v>3</v>
      </c>
    </row>
    <row r="2" spans="1:14" s="1" customFormat="1" x14ac:dyDescent="0.35">
      <c r="A2" s="51"/>
      <c r="B2" s="51"/>
      <c r="C2" s="49"/>
      <c r="D2" s="51"/>
      <c r="E2" s="51"/>
      <c r="F2" s="49"/>
      <c r="G2" s="51"/>
      <c r="H2" s="51"/>
      <c r="I2" s="49"/>
      <c r="J2" s="51"/>
      <c r="K2" s="51"/>
    </row>
    <row r="3" spans="1:14" s="1" customFormat="1" x14ac:dyDescent="0.35">
      <c r="A3" s="51" t="s">
        <v>2</v>
      </c>
      <c r="B3" s="51" t="s">
        <v>3</v>
      </c>
      <c r="C3" s="49"/>
      <c r="D3" s="51" t="s">
        <v>2</v>
      </c>
      <c r="E3" s="51" t="s">
        <v>3</v>
      </c>
      <c r="F3" s="49"/>
      <c r="G3" s="51" t="s">
        <v>2</v>
      </c>
      <c r="H3" s="51" t="s">
        <v>3</v>
      </c>
      <c r="I3" s="49"/>
      <c r="J3" s="51" t="s">
        <v>2</v>
      </c>
      <c r="K3" s="51" t="s">
        <v>3</v>
      </c>
      <c r="M3" s="1" t="s">
        <v>2</v>
      </c>
      <c r="N3" s="1" t="s">
        <v>3</v>
      </c>
    </row>
    <row r="4" spans="1:14" x14ac:dyDescent="0.35">
      <c r="A4" s="49" t="s">
        <v>23</v>
      </c>
      <c r="B4" s="49" t="s">
        <v>147</v>
      </c>
      <c r="C4" s="49"/>
      <c r="D4" s="49" t="s">
        <v>23</v>
      </c>
      <c r="E4" s="49" t="s">
        <v>148</v>
      </c>
      <c r="F4" s="49"/>
      <c r="G4" s="49" t="s">
        <v>23</v>
      </c>
      <c r="H4" s="49" t="s">
        <v>149</v>
      </c>
      <c r="I4" s="49"/>
      <c r="J4" s="49" t="s">
        <v>23</v>
      </c>
      <c r="K4" s="49" t="s">
        <v>150</v>
      </c>
      <c r="L4" s="4"/>
      <c r="M4" s="4" t="s">
        <v>23</v>
      </c>
      <c r="N4" s="4" t="s">
        <v>24</v>
      </c>
    </row>
    <row r="5" spans="1:14" x14ac:dyDescent="0.35">
      <c r="A5" s="49" t="s">
        <v>4</v>
      </c>
      <c r="B5" s="49">
        <v>3.5200000000000002E-2</v>
      </c>
      <c r="C5" s="49"/>
      <c r="D5" s="49" t="s">
        <v>4</v>
      </c>
      <c r="E5" s="49">
        <v>9.3799999999999994E-2</v>
      </c>
      <c r="F5" s="49"/>
      <c r="G5" s="49" t="s">
        <v>4</v>
      </c>
      <c r="H5" s="49">
        <v>0.17580000000000001</v>
      </c>
      <c r="I5" s="49"/>
      <c r="J5" s="49" t="s">
        <v>4</v>
      </c>
      <c r="K5" s="49">
        <v>0.28129999999999999</v>
      </c>
      <c r="M5" t="s">
        <v>4</v>
      </c>
      <c r="N5">
        <v>0.1963</v>
      </c>
    </row>
    <row r="6" spans="1:14" x14ac:dyDescent="0.35">
      <c r="A6" s="49" t="s">
        <v>5</v>
      </c>
      <c r="B6" s="52">
        <v>1.741E-4</v>
      </c>
      <c r="C6" s="49"/>
      <c r="D6" s="49" t="s">
        <v>5</v>
      </c>
      <c r="E6" s="52">
        <v>8.4049999999999999E-4</v>
      </c>
      <c r="F6" s="49"/>
      <c r="G6" s="49" t="s">
        <v>5</v>
      </c>
      <c r="H6" s="52">
        <v>1.8029999999999999E-3</v>
      </c>
      <c r="I6" s="49"/>
      <c r="J6" s="49" t="s">
        <v>5</v>
      </c>
      <c r="K6" s="49">
        <v>1.3899999999999999E-2</v>
      </c>
      <c r="M6" t="s">
        <v>5</v>
      </c>
      <c r="N6" s="8">
        <v>6.136E-3</v>
      </c>
    </row>
    <row r="7" spans="1:14" x14ac:dyDescent="0.35">
      <c r="A7" s="49" t="s">
        <v>69</v>
      </c>
      <c r="B7" s="52">
        <v>1.03E-4</v>
      </c>
      <c r="C7" s="49"/>
      <c r="D7" s="49" t="s">
        <v>69</v>
      </c>
      <c r="E7" s="52">
        <v>1.9530000000000001E-3</v>
      </c>
      <c r="F7" s="49"/>
      <c r="G7" s="49" t="s">
        <v>69</v>
      </c>
      <c r="H7" s="52">
        <v>1.29E-2</v>
      </c>
      <c r="I7" s="49"/>
      <c r="J7" s="49" t="s">
        <v>69</v>
      </c>
      <c r="K7" s="52">
        <v>8.2400000000000008E-3</v>
      </c>
      <c r="M7" t="s">
        <v>69</v>
      </c>
      <c r="N7" s="8">
        <v>3.068E-3</v>
      </c>
    </row>
    <row r="8" spans="1:14" x14ac:dyDescent="0.35">
      <c r="A8" s="49" t="s">
        <v>70</v>
      </c>
      <c r="B8" s="52">
        <v>1.03E-4</v>
      </c>
      <c r="C8" s="49"/>
      <c r="D8" s="49" t="s">
        <v>70</v>
      </c>
      <c r="E8" s="52">
        <v>2.7470000000000001E-4</v>
      </c>
      <c r="F8" s="49"/>
      <c r="G8" s="49" t="s">
        <v>70</v>
      </c>
      <c r="H8" s="52">
        <v>5.1500000000000005E-4</v>
      </c>
      <c r="I8" s="49"/>
      <c r="J8" s="49" t="s">
        <v>70</v>
      </c>
      <c r="K8" s="52">
        <v>8.2400000000000008E-3</v>
      </c>
      <c r="M8" t="s">
        <v>70</v>
      </c>
      <c r="N8" s="8">
        <v>3.068E-3</v>
      </c>
    </row>
    <row r="9" spans="1:14" x14ac:dyDescent="0.35">
      <c r="A9" s="49" t="s">
        <v>6</v>
      </c>
      <c r="B9" s="52">
        <v>2.93E-2</v>
      </c>
      <c r="C9" s="49"/>
      <c r="D9" s="49" t="s">
        <v>6</v>
      </c>
      <c r="E9" s="52">
        <v>7.8100000000000003E-2</v>
      </c>
      <c r="F9" s="49"/>
      <c r="G9" s="49" t="s">
        <v>6</v>
      </c>
      <c r="H9" s="52">
        <v>0.14649999999999999</v>
      </c>
      <c r="I9" s="49"/>
      <c r="J9" s="49" t="s">
        <v>6</v>
      </c>
      <c r="K9" s="52">
        <v>0.20749999999999999</v>
      </c>
      <c r="M9" t="s">
        <v>6</v>
      </c>
      <c r="N9" s="8">
        <v>0.1767</v>
      </c>
    </row>
    <row r="10" spans="1:14" x14ac:dyDescent="0.35">
      <c r="A10" s="49" t="s">
        <v>7</v>
      </c>
      <c r="B10" s="52">
        <v>2.93E-2</v>
      </c>
      <c r="C10" s="49"/>
      <c r="D10" s="49" t="s">
        <v>7</v>
      </c>
      <c r="E10" s="52">
        <v>7.8100000000000003E-2</v>
      </c>
      <c r="F10" s="49"/>
      <c r="G10" s="49" t="s">
        <v>7</v>
      </c>
      <c r="H10" s="52">
        <v>0.14649999999999999</v>
      </c>
      <c r="I10" s="49"/>
      <c r="J10" s="49" t="s">
        <v>7</v>
      </c>
      <c r="K10" s="52">
        <v>0.20749999999999999</v>
      </c>
      <c r="M10" t="s">
        <v>7</v>
      </c>
      <c r="N10" s="8">
        <v>0.1767</v>
      </c>
    </row>
    <row r="11" spans="1:14" x14ac:dyDescent="0.35">
      <c r="A11" s="49" t="s">
        <v>8</v>
      </c>
      <c r="B11" s="52">
        <v>1.0989999999999999E-3</v>
      </c>
      <c r="C11" s="49"/>
      <c r="D11" s="49" t="s">
        <v>8</v>
      </c>
      <c r="E11" s="52">
        <v>7.8130000000000005E-3</v>
      </c>
      <c r="F11" s="49"/>
      <c r="G11" s="49" t="s">
        <v>8</v>
      </c>
      <c r="H11" s="52">
        <v>2.75E-2</v>
      </c>
      <c r="I11" s="49"/>
      <c r="J11" s="49" t="s">
        <v>8</v>
      </c>
      <c r="K11" s="52">
        <v>2.93E-2</v>
      </c>
      <c r="M11" t="s">
        <v>8</v>
      </c>
      <c r="N11" s="8">
        <v>1.23E-2</v>
      </c>
    </row>
    <row r="12" spans="1:14" x14ac:dyDescent="0.35">
      <c r="A12" s="49" t="s">
        <v>9</v>
      </c>
      <c r="B12" s="52">
        <v>1.0989999999999999E-3</v>
      </c>
      <c r="C12" s="49"/>
      <c r="D12" s="49" t="s">
        <v>9</v>
      </c>
      <c r="E12" s="52">
        <v>7.8130000000000005E-3</v>
      </c>
      <c r="F12" s="49"/>
      <c r="G12" s="49" t="s">
        <v>9</v>
      </c>
      <c r="H12" s="52">
        <v>5.4929999999999996E-3</v>
      </c>
      <c r="I12" s="49"/>
      <c r="J12" s="49" t="s">
        <v>9</v>
      </c>
      <c r="K12" s="52">
        <v>2.93E-2</v>
      </c>
      <c r="M12" t="s">
        <v>9</v>
      </c>
      <c r="N12" s="8">
        <v>1.23E-2</v>
      </c>
    </row>
    <row r="13" spans="1:14" x14ac:dyDescent="0.35">
      <c r="A13" s="49" t="s">
        <v>10</v>
      </c>
      <c r="B13" s="52">
        <v>1.6479999999999999E-3</v>
      </c>
      <c r="C13" s="49"/>
      <c r="D13" s="49" t="s">
        <v>10</v>
      </c>
      <c r="E13" s="52">
        <v>1.17E-2</v>
      </c>
      <c r="F13" s="49"/>
      <c r="G13" s="49" t="s">
        <v>10</v>
      </c>
      <c r="H13" s="52">
        <v>4.1200000000000001E-2</v>
      </c>
      <c r="I13" s="49"/>
      <c r="J13" s="49" t="s">
        <v>10</v>
      </c>
      <c r="K13" s="52">
        <v>4.2799999999999998E-2</v>
      </c>
      <c r="M13" t="s">
        <v>10</v>
      </c>
      <c r="N13" s="8">
        <v>2.0799999999999999E-2</v>
      </c>
    </row>
    <row r="14" spans="1:14" x14ac:dyDescent="0.35">
      <c r="A14" s="49" t="s">
        <v>11</v>
      </c>
      <c r="B14" s="52">
        <v>1.6479999999999999E-3</v>
      </c>
      <c r="C14" s="49"/>
      <c r="D14" s="49" t="s">
        <v>11</v>
      </c>
      <c r="E14" s="52">
        <v>4.3949999999999996E-3</v>
      </c>
      <c r="F14" s="49"/>
      <c r="G14" s="49" t="s">
        <v>11</v>
      </c>
      <c r="H14" s="52">
        <v>8.2400000000000008E-3</v>
      </c>
      <c r="I14" s="49"/>
      <c r="J14" s="49" t="s">
        <v>11</v>
      </c>
      <c r="K14" s="52">
        <v>4.2799999999999998E-2</v>
      </c>
      <c r="M14" t="s">
        <v>11</v>
      </c>
      <c r="N14" s="8">
        <v>2.0799999999999999E-2</v>
      </c>
    </row>
    <row r="15" spans="1:14" x14ac:dyDescent="0.35">
      <c r="A15" s="49" t="s">
        <v>12</v>
      </c>
      <c r="B15" s="52">
        <v>5.4100000000000002E-2</v>
      </c>
      <c r="C15" s="49"/>
      <c r="D15" s="49" t="s">
        <v>12</v>
      </c>
      <c r="E15" s="52">
        <v>0.14430000000000001</v>
      </c>
      <c r="F15" s="49"/>
      <c r="G15" s="49" t="s">
        <v>12</v>
      </c>
      <c r="H15" s="52">
        <v>0.27060000000000001</v>
      </c>
      <c r="I15" s="49"/>
      <c r="J15" s="49" t="s">
        <v>12</v>
      </c>
      <c r="K15" s="52">
        <v>0.17119999999999999</v>
      </c>
      <c r="M15" t="s">
        <v>12</v>
      </c>
      <c r="N15" s="8">
        <v>0.125</v>
      </c>
    </row>
    <row r="16" spans="1:14" x14ac:dyDescent="0.35">
      <c r="A16" s="49" t="s">
        <v>13</v>
      </c>
      <c r="B16" s="52">
        <v>5.4100000000000002E-2</v>
      </c>
      <c r="C16" s="49"/>
      <c r="D16" s="49" t="s">
        <v>13</v>
      </c>
      <c r="E16" s="52">
        <v>5.4100000000000002E-2</v>
      </c>
      <c r="F16" s="49"/>
      <c r="G16" s="49" t="s">
        <v>13</v>
      </c>
      <c r="H16" s="52">
        <v>5.4100000000000002E-2</v>
      </c>
      <c r="I16" s="49"/>
      <c r="J16" s="49" t="s">
        <v>13</v>
      </c>
      <c r="K16" s="52">
        <v>0.17119999999999999</v>
      </c>
      <c r="M16" t="s">
        <v>13</v>
      </c>
      <c r="N16" s="8">
        <v>0.125</v>
      </c>
    </row>
    <row r="17" spans="1:14" x14ac:dyDescent="0.35">
      <c r="A17" s="49" t="s">
        <v>40</v>
      </c>
      <c r="B17" s="49" t="s">
        <v>0</v>
      </c>
      <c r="C17" s="49"/>
      <c r="D17" s="49" t="s">
        <v>40</v>
      </c>
      <c r="E17" s="49" t="s">
        <v>0</v>
      </c>
      <c r="F17" s="49"/>
      <c r="G17" s="49" t="s">
        <v>40</v>
      </c>
      <c r="H17" s="49" t="s">
        <v>0</v>
      </c>
      <c r="I17" s="49"/>
      <c r="J17" s="49" t="s">
        <v>40</v>
      </c>
      <c r="K17" s="49" t="s">
        <v>0</v>
      </c>
      <c r="M17" t="s">
        <v>40</v>
      </c>
      <c r="N17" t="s">
        <v>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ED84-62C5-434E-9DDC-2383F915376B}">
  <sheetPr codeName="Sheet6"/>
  <dimension ref="A1:BA23"/>
  <sheetViews>
    <sheetView workbookViewId="0">
      <selection activeCell="L8" sqref="L8"/>
    </sheetView>
  </sheetViews>
  <sheetFormatPr defaultRowHeight="14.5" x14ac:dyDescent="0.35"/>
  <sheetData>
    <row r="1" spans="1:53" x14ac:dyDescent="0.35">
      <c r="A1" s="7" t="s">
        <v>14</v>
      </c>
      <c r="B1" s="11">
        <v>1</v>
      </c>
      <c r="C1" s="7"/>
      <c r="D1" s="7"/>
      <c r="E1" s="7"/>
      <c r="F1" s="7"/>
      <c r="G1" s="7"/>
      <c r="H1" s="7"/>
      <c r="J1" s="7" t="s">
        <v>14</v>
      </c>
      <c r="K1" s="2">
        <v>2</v>
      </c>
      <c r="L1" s="2"/>
      <c r="M1" s="2"/>
      <c r="N1" s="2"/>
      <c r="O1" s="2"/>
      <c r="P1" s="2"/>
      <c r="Q1" s="2"/>
      <c r="S1" s="7" t="s">
        <v>14</v>
      </c>
      <c r="T1" s="2">
        <v>3</v>
      </c>
      <c r="U1" s="2"/>
      <c r="V1" s="2"/>
      <c r="W1" s="2"/>
      <c r="X1" s="2"/>
      <c r="Y1" s="2"/>
      <c r="Z1" s="2"/>
      <c r="AB1" s="2" t="s">
        <v>14</v>
      </c>
      <c r="AC1" s="2">
        <v>4</v>
      </c>
      <c r="AD1" s="2"/>
      <c r="AE1" s="2"/>
      <c r="AF1" s="2"/>
      <c r="AG1" s="2"/>
      <c r="AH1" s="2"/>
      <c r="AI1" s="2"/>
      <c r="AK1" s="2" t="s">
        <v>14</v>
      </c>
      <c r="AL1" s="2">
        <v>5</v>
      </c>
      <c r="AM1" s="2"/>
      <c r="AN1" s="2"/>
      <c r="AO1" s="2"/>
      <c r="AP1" s="2"/>
      <c r="AQ1" s="2"/>
      <c r="AR1" s="2"/>
      <c r="AT1" s="2" t="s">
        <v>14</v>
      </c>
      <c r="AU1" s="2">
        <v>6</v>
      </c>
      <c r="AV1" s="2"/>
      <c r="AW1" s="2"/>
      <c r="AX1" s="2"/>
      <c r="AY1" s="2"/>
      <c r="AZ1" s="2"/>
      <c r="BA1" s="2"/>
    </row>
    <row r="3" spans="1:53" x14ac:dyDescent="0.35">
      <c r="A3" s="13" t="s">
        <v>20</v>
      </c>
      <c r="B3" s="13" t="s">
        <v>46</v>
      </c>
      <c r="C3" s="13" t="s">
        <v>47</v>
      </c>
      <c r="D3" s="13" t="s">
        <v>81</v>
      </c>
      <c r="E3" s="10" t="s">
        <v>19</v>
      </c>
      <c r="F3" s="3" t="s">
        <v>44</v>
      </c>
      <c r="G3" s="10" t="s">
        <v>42</v>
      </c>
      <c r="H3" s="10" t="s">
        <v>43</v>
      </c>
      <c r="J3" s="13" t="s">
        <v>20</v>
      </c>
      <c r="K3" s="13" t="s">
        <v>46</v>
      </c>
      <c r="L3" s="13" t="s">
        <v>47</v>
      </c>
      <c r="M3" s="13" t="s">
        <v>81</v>
      </c>
      <c r="N3" s="10" t="s">
        <v>19</v>
      </c>
      <c r="O3" s="3" t="s">
        <v>44</v>
      </c>
      <c r="P3" s="10" t="s">
        <v>42</v>
      </c>
      <c r="Q3" s="10" t="s">
        <v>43</v>
      </c>
      <c r="S3" s="13" t="s">
        <v>20</v>
      </c>
      <c r="T3" s="13" t="s">
        <v>46</v>
      </c>
      <c r="U3" s="13" t="s">
        <v>47</v>
      </c>
      <c r="V3" s="13" t="s">
        <v>81</v>
      </c>
      <c r="W3" s="10" t="s">
        <v>19</v>
      </c>
      <c r="X3" s="3" t="s">
        <v>44</v>
      </c>
      <c r="Y3" s="10" t="s">
        <v>42</v>
      </c>
      <c r="Z3" s="10" t="s">
        <v>43</v>
      </c>
      <c r="AB3" s="13" t="s">
        <v>20</v>
      </c>
      <c r="AC3" s="13" t="s">
        <v>46</v>
      </c>
      <c r="AD3" s="13" t="s">
        <v>47</v>
      </c>
      <c r="AE3" s="13" t="s">
        <v>81</v>
      </c>
      <c r="AF3" s="10" t="s">
        <v>19</v>
      </c>
      <c r="AG3" s="3" t="s">
        <v>44</v>
      </c>
      <c r="AH3" s="10" t="s">
        <v>42</v>
      </c>
      <c r="AI3" s="10" t="s">
        <v>43</v>
      </c>
      <c r="AK3" s="13" t="s">
        <v>20</v>
      </c>
      <c r="AL3" s="13" t="s">
        <v>46</v>
      </c>
      <c r="AM3" s="13" t="s">
        <v>47</v>
      </c>
      <c r="AN3" s="13" t="s">
        <v>81</v>
      </c>
      <c r="AO3" s="10" t="s">
        <v>19</v>
      </c>
      <c r="AP3" s="3" t="s">
        <v>44</v>
      </c>
      <c r="AQ3" s="10" t="s">
        <v>42</v>
      </c>
      <c r="AR3" s="10" t="s">
        <v>43</v>
      </c>
      <c r="AT3" s="13" t="s">
        <v>20</v>
      </c>
      <c r="AU3" s="13" t="s">
        <v>46</v>
      </c>
      <c r="AV3" s="13" t="s">
        <v>47</v>
      </c>
      <c r="AW3" s="13" t="s">
        <v>81</v>
      </c>
      <c r="AX3" s="10" t="s">
        <v>19</v>
      </c>
      <c r="AY3" s="3" t="s">
        <v>44</v>
      </c>
      <c r="AZ3" s="10" t="s">
        <v>42</v>
      </c>
      <c r="BA3" s="10" t="s">
        <v>43</v>
      </c>
    </row>
    <row r="4" spans="1:53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147</v>
      </c>
      <c r="G4">
        <v>1</v>
      </c>
      <c r="H4">
        <v>4</v>
      </c>
      <c r="J4">
        <v>1</v>
      </c>
      <c r="K4">
        <v>0</v>
      </c>
      <c r="L4">
        <v>0</v>
      </c>
      <c r="M4">
        <v>0</v>
      </c>
      <c r="N4">
        <v>1</v>
      </c>
      <c r="O4" t="s">
        <v>147</v>
      </c>
      <c r="P4">
        <v>1</v>
      </c>
      <c r="Q4">
        <v>6</v>
      </c>
      <c r="S4">
        <v>1</v>
      </c>
      <c r="T4">
        <v>0</v>
      </c>
      <c r="U4">
        <v>0</v>
      </c>
      <c r="V4">
        <v>0</v>
      </c>
      <c r="W4">
        <v>1</v>
      </c>
      <c r="X4" t="s">
        <v>147</v>
      </c>
      <c r="Y4">
        <v>2</v>
      </c>
      <c r="Z4">
        <v>7</v>
      </c>
      <c r="AB4">
        <v>1</v>
      </c>
      <c r="AC4">
        <v>0</v>
      </c>
      <c r="AD4">
        <v>0</v>
      </c>
      <c r="AE4">
        <v>0</v>
      </c>
      <c r="AF4">
        <v>1</v>
      </c>
      <c r="AG4" t="s">
        <v>147</v>
      </c>
      <c r="AH4">
        <v>1</v>
      </c>
      <c r="AI4">
        <v>4</v>
      </c>
      <c r="AK4">
        <v>1</v>
      </c>
      <c r="AL4">
        <v>0</v>
      </c>
      <c r="AM4">
        <v>0</v>
      </c>
      <c r="AN4">
        <v>0</v>
      </c>
      <c r="AO4">
        <v>1</v>
      </c>
      <c r="AP4" t="s">
        <v>147</v>
      </c>
      <c r="AQ4">
        <v>3</v>
      </c>
      <c r="AR4">
        <v>4</v>
      </c>
      <c r="AT4">
        <v>1</v>
      </c>
      <c r="AU4">
        <v>0</v>
      </c>
      <c r="AV4">
        <v>0</v>
      </c>
      <c r="AW4">
        <v>0</v>
      </c>
      <c r="AX4">
        <v>1</v>
      </c>
      <c r="AY4" t="s">
        <v>147</v>
      </c>
      <c r="AZ4">
        <v>3</v>
      </c>
      <c r="BA4">
        <v>12</v>
      </c>
    </row>
    <row r="5" spans="1:53" x14ac:dyDescent="0.35">
      <c r="A5">
        <v>2</v>
      </c>
      <c r="B5">
        <v>0</v>
      </c>
      <c r="C5">
        <v>0.5</v>
      </c>
      <c r="D5">
        <v>0</v>
      </c>
      <c r="E5">
        <v>2</v>
      </c>
      <c r="F5" t="s">
        <v>147</v>
      </c>
      <c r="G5">
        <v>4</v>
      </c>
      <c r="H5">
        <v>7</v>
      </c>
      <c r="J5">
        <v>2</v>
      </c>
      <c r="K5">
        <v>0</v>
      </c>
      <c r="L5">
        <v>0.5</v>
      </c>
      <c r="M5">
        <v>0</v>
      </c>
      <c r="N5">
        <v>2</v>
      </c>
      <c r="O5" t="s">
        <v>147</v>
      </c>
      <c r="P5">
        <v>6</v>
      </c>
      <c r="Q5">
        <v>11</v>
      </c>
      <c r="S5">
        <v>2</v>
      </c>
      <c r="T5">
        <v>0</v>
      </c>
      <c r="U5">
        <v>0.5</v>
      </c>
      <c r="V5">
        <v>0</v>
      </c>
      <c r="W5">
        <v>2</v>
      </c>
      <c r="X5" t="s">
        <v>147</v>
      </c>
      <c r="Y5">
        <v>7</v>
      </c>
      <c r="Z5">
        <v>10</v>
      </c>
      <c r="AB5">
        <v>2</v>
      </c>
      <c r="AC5">
        <v>0</v>
      </c>
      <c r="AD5">
        <v>0.5</v>
      </c>
      <c r="AE5">
        <v>0</v>
      </c>
      <c r="AF5">
        <v>2</v>
      </c>
      <c r="AG5" t="s">
        <v>147</v>
      </c>
      <c r="AH5">
        <v>4</v>
      </c>
      <c r="AI5">
        <v>7</v>
      </c>
      <c r="AK5">
        <v>2</v>
      </c>
      <c r="AL5">
        <v>0</v>
      </c>
      <c r="AM5">
        <v>0.5</v>
      </c>
      <c r="AN5">
        <v>0</v>
      </c>
      <c r="AO5">
        <v>2</v>
      </c>
      <c r="AP5" t="s">
        <v>147</v>
      </c>
      <c r="AQ5">
        <v>4</v>
      </c>
      <c r="AR5">
        <v>5</v>
      </c>
      <c r="AT5">
        <v>2</v>
      </c>
      <c r="AU5">
        <v>0</v>
      </c>
      <c r="AV5">
        <v>0.5</v>
      </c>
      <c r="AW5">
        <v>0</v>
      </c>
      <c r="AX5">
        <v>2</v>
      </c>
      <c r="AY5" t="s">
        <v>147</v>
      </c>
      <c r="AZ5">
        <v>11</v>
      </c>
      <c r="BA5">
        <v>12</v>
      </c>
    </row>
    <row r="6" spans="1:53" x14ac:dyDescent="0.35">
      <c r="A6">
        <v>3</v>
      </c>
      <c r="B6">
        <v>0</v>
      </c>
      <c r="C6">
        <v>1</v>
      </c>
      <c r="D6">
        <v>0</v>
      </c>
      <c r="E6">
        <v>3</v>
      </c>
      <c r="F6" t="s">
        <v>147</v>
      </c>
      <c r="G6">
        <v>3</v>
      </c>
      <c r="H6">
        <v>4</v>
      </c>
      <c r="J6">
        <v>3</v>
      </c>
      <c r="K6">
        <v>0</v>
      </c>
      <c r="L6">
        <v>1</v>
      </c>
      <c r="M6">
        <v>0</v>
      </c>
      <c r="N6">
        <v>3</v>
      </c>
      <c r="O6" t="s">
        <v>147</v>
      </c>
      <c r="P6">
        <v>3</v>
      </c>
      <c r="Q6">
        <v>6</v>
      </c>
      <c r="S6">
        <v>3</v>
      </c>
      <c r="T6">
        <v>0</v>
      </c>
      <c r="U6">
        <v>1</v>
      </c>
      <c r="V6">
        <v>0</v>
      </c>
      <c r="W6">
        <v>3</v>
      </c>
      <c r="X6" t="s">
        <v>147</v>
      </c>
      <c r="Y6">
        <v>10</v>
      </c>
      <c r="Z6">
        <v>5</v>
      </c>
      <c r="AB6">
        <v>3</v>
      </c>
      <c r="AC6">
        <v>0</v>
      </c>
      <c r="AD6">
        <v>1</v>
      </c>
      <c r="AE6">
        <v>0</v>
      </c>
      <c r="AF6">
        <v>3</v>
      </c>
      <c r="AG6" t="s">
        <v>147</v>
      </c>
      <c r="AH6">
        <v>7</v>
      </c>
      <c r="AI6">
        <v>8</v>
      </c>
      <c r="AK6">
        <v>3</v>
      </c>
      <c r="AL6">
        <v>0</v>
      </c>
      <c r="AM6">
        <v>1</v>
      </c>
      <c r="AN6">
        <v>0</v>
      </c>
      <c r="AO6">
        <v>3</v>
      </c>
      <c r="AP6" t="s">
        <v>147</v>
      </c>
      <c r="AQ6">
        <v>5</v>
      </c>
      <c r="AR6">
        <v>8</v>
      </c>
      <c r="AT6">
        <v>3</v>
      </c>
      <c r="AU6">
        <v>0</v>
      </c>
      <c r="AV6">
        <v>1</v>
      </c>
      <c r="AW6">
        <v>0</v>
      </c>
      <c r="AX6">
        <v>3</v>
      </c>
      <c r="AY6" t="s">
        <v>147</v>
      </c>
      <c r="AZ6">
        <v>1</v>
      </c>
      <c r="BA6">
        <v>12</v>
      </c>
    </row>
    <row r="7" spans="1:53" x14ac:dyDescent="0.35">
      <c r="A7">
        <v>4</v>
      </c>
      <c r="B7">
        <v>0.25</v>
      </c>
      <c r="C7">
        <v>0.5</v>
      </c>
      <c r="D7">
        <v>0</v>
      </c>
      <c r="E7">
        <v>4</v>
      </c>
      <c r="F7" t="s">
        <v>147</v>
      </c>
      <c r="G7">
        <v>4</v>
      </c>
      <c r="H7">
        <v>5</v>
      </c>
      <c r="J7">
        <v>4</v>
      </c>
      <c r="K7">
        <v>0.25</v>
      </c>
      <c r="L7">
        <v>0.5</v>
      </c>
      <c r="M7">
        <v>0</v>
      </c>
      <c r="N7">
        <v>4</v>
      </c>
      <c r="O7" t="s">
        <v>147</v>
      </c>
      <c r="P7">
        <v>6</v>
      </c>
      <c r="Q7">
        <v>9</v>
      </c>
      <c r="S7">
        <v>4</v>
      </c>
      <c r="T7">
        <v>0.25</v>
      </c>
      <c r="U7">
        <v>0.5</v>
      </c>
      <c r="V7">
        <v>0</v>
      </c>
      <c r="W7">
        <v>4</v>
      </c>
      <c r="X7" t="s">
        <v>147</v>
      </c>
      <c r="Y7">
        <v>5</v>
      </c>
      <c r="Z7">
        <v>2</v>
      </c>
      <c r="AB7">
        <v>4</v>
      </c>
      <c r="AC7">
        <v>0.25</v>
      </c>
      <c r="AD7">
        <v>0.5</v>
      </c>
      <c r="AE7">
        <v>0</v>
      </c>
      <c r="AF7">
        <v>4</v>
      </c>
      <c r="AG7" t="s">
        <v>147</v>
      </c>
      <c r="AH7">
        <v>8</v>
      </c>
      <c r="AI7">
        <v>9</v>
      </c>
      <c r="AK7">
        <v>4</v>
      </c>
      <c r="AL7">
        <v>0.25</v>
      </c>
      <c r="AM7">
        <v>0.5</v>
      </c>
      <c r="AN7">
        <v>0</v>
      </c>
      <c r="AO7">
        <v>4</v>
      </c>
      <c r="AP7" t="s">
        <v>147</v>
      </c>
      <c r="AQ7">
        <v>8</v>
      </c>
      <c r="AR7">
        <v>11</v>
      </c>
      <c r="AT7">
        <v>4</v>
      </c>
      <c r="AU7">
        <v>0.25</v>
      </c>
      <c r="AV7">
        <v>0.5</v>
      </c>
      <c r="AW7">
        <v>0</v>
      </c>
      <c r="AX7">
        <v>4</v>
      </c>
      <c r="AY7" t="s">
        <v>147</v>
      </c>
      <c r="AZ7">
        <v>9</v>
      </c>
      <c r="BA7">
        <v>12</v>
      </c>
    </row>
    <row r="8" spans="1:53" x14ac:dyDescent="0.35">
      <c r="A8">
        <v>5</v>
      </c>
      <c r="B8">
        <v>0.5</v>
      </c>
      <c r="C8">
        <v>0</v>
      </c>
      <c r="D8">
        <v>0</v>
      </c>
      <c r="E8">
        <v>5</v>
      </c>
      <c r="F8" t="s">
        <v>147</v>
      </c>
      <c r="G8">
        <v>7</v>
      </c>
      <c r="H8">
        <v>8</v>
      </c>
      <c r="J8">
        <v>5</v>
      </c>
      <c r="K8">
        <v>0.5</v>
      </c>
      <c r="L8">
        <v>0</v>
      </c>
      <c r="M8">
        <v>0</v>
      </c>
      <c r="S8">
        <v>5</v>
      </c>
      <c r="T8">
        <v>0.5</v>
      </c>
      <c r="U8">
        <v>0</v>
      </c>
      <c r="V8">
        <v>0</v>
      </c>
      <c r="AB8">
        <v>5</v>
      </c>
      <c r="AC8">
        <v>0.5</v>
      </c>
      <c r="AD8">
        <v>0</v>
      </c>
      <c r="AE8">
        <v>0</v>
      </c>
      <c r="AK8">
        <v>5</v>
      </c>
      <c r="AL8">
        <v>0.5</v>
      </c>
      <c r="AM8">
        <v>0</v>
      </c>
      <c r="AN8">
        <v>0</v>
      </c>
      <c r="AT8">
        <v>5</v>
      </c>
      <c r="AU8">
        <v>0.5</v>
      </c>
      <c r="AV8">
        <v>0</v>
      </c>
      <c r="AW8">
        <v>0</v>
      </c>
    </row>
    <row r="9" spans="1:53" x14ac:dyDescent="0.35">
      <c r="A9">
        <v>6</v>
      </c>
      <c r="B9">
        <v>0.5</v>
      </c>
      <c r="C9">
        <v>0.5</v>
      </c>
      <c r="D9">
        <v>0</v>
      </c>
      <c r="E9">
        <v>6</v>
      </c>
      <c r="F9" t="s">
        <v>147</v>
      </c>
      <c r="G9">
        <v>8</v>
      </c>
      <c r="H9">
        <v>9</v>
      </c>
      <c r="J9">
        <v>6</v>
      </c>
      <c r="K9">
        <v>0.5</v>
      </c>
      <c r="L9">
        <v>0.5</v>
      </c>
      <c r="M9">
        <v>0</v>
      </c>
      <c r="S9">
        <v>6</v>
      </c>
      <c r="T9">
        <v>0.5</v>
      </c>
      <c r="U9">
        <v>0.5</v>
      </c>
      <c r="V9">
        <v>0</v>
      </c>
      <c r="AB9">
        <v>6</v>
      </c>
      <c r="AC9">
        <v>0.5</v>
      </c>
      <c r="AD9">
        <v>0.5</v>
      </c>
      <c r="AE9">
        <v>0</v>
      </c>
      <c r="AK9">
        <v>6</v>
      </c>
      <c r="AL9">
        <v>0.5</v>
      </c>
      <c r="AM9">
        <v>0.5</v>
      </c>
      <c r="AN9">
        <v>0</v>
      </c>
      <c r="AT9">
        <v>6</v>
      </c>
      <c r="AU9">
        <v>0.5</v>
      </c>
      <c r="AV9">
        <v>0.5</v>
      </c>
      <c r="AW9">
        <v>0</v>
      </c>
    </row>
    <row r="10" spans="1:53" x14ac:dyDescent="0.35">
      <c r="A10">
        <v>7</v>
      </c>
      <c r="B10">
        <v>0.5</v>
      </c>
      <c r="C10">
        <v>1</v>
      </c>
      <c r="D10">
        <v>0</v>
      </c>
      <c r="E10">
        <v>7</v>
      </c>
      <c r="F10" t="s">
        <v>147</v>
      </c>
      <c r="G10">
        <v>5</v>
      </c>
      <c r="H10">
        <v>8</v>
      </c>
      <c r="J10">
        <v>7</v>
      </c>
      <c r="K10">
        <v>0.5</v>
      </c>
      <c r="L10">
        <v>1</v>
      </c>
      <c r="M10">
        <v>0</v>
      </c>
      <c r="S10">
        <v>7</v>
      </c>
      <c r="T10">
        <v>0.5</v>
      </c>
      <c r="U10">
        <v>1</v>
      </c>
      <c r="V10">
        <v>0</v>
      </c>
      <c r="AB10">
        <v>7</v>
      </c>
      <c r="AC10">
        <v>0.5</v>
      </c>
      <c r="AD10">
        <v>1</v>
      </c>
      <c r="AE10">
        <v>0</v>
      </c>
      <c r="AK10">
        <v>7</v>
      </c>
      <c r="AL10">
        <v>0.5</v>
      </c>
      <c r="AM10">
        <v>1</v>
      </c>
      <c r="AN10">
        <v>0</v>
      </c>
      <c r="AT10">
        <v>7</v>
      </c>
      <c r="AU10">
        <v>0.5</v>
      </c>
      <c r="AV10">
        <v>1</v>
      </c>
      <c r="AW10">
        <v>0</v>
      </c>
    </row>
    <row r="11" spans="1:53" x14ac:dyDescent="0.35">
      <c r="A11">
        <v>8</v>
      </c>
      <c r="B11">
        <v>0.75</v>
      </c>
      <c r="C11">
        <v>0.5</v>
      </c>
      <c r="D11">
        <v>0</v>
      </c>
      <c r="E11">
        <v>8</v>
      </c>
      <c r="F11" t="s">
        <v>147</v>
      </c>
      <c r="G11">
        <v>8</v>
      </c>
      <c r="H11">
        <v>11</v>
      </c>
      <c r="J11">
        <v>8</v>
      </c>
      <c r="K11">
        <v>0.75</v>
      </c>
      <c r="L11">
        <v>0.5</v>
      </c>
      <c r="M11">
        <v>0</v>
      </c>
      <c r="S11">
        <v>8</v>
      </c>
      <c r="T11">
        <v>0.75</v>
      </c>
      <c r="U11">
        <v>0.5</v>
      </c>
      <c r="V11">
        <v>0</v>
      </c>
      <c r="AB11">
        <v>8</v>
      </c>
      <c r="AC11">
        <v>0.75</v>
      </c>
      <c r="AD11">
        <v>0.5</v>
      </c>
      <c r="AE11">
        <v>0</v>
      </c>
      <c r="AK11">
        <v>8</v>
      </c>
      <c r="AL11">
        <v>0.75</v>
      </c>
      <c r="AM11">
        <v>0.5</v>
      </c>
      <c r="AN11">
        <v>0</v>
      </c>
      <c r="AT11">
        <v>8</v>
      </c>
      <c r="AU11">
        <v>0.75</v>
      </c>
      <c r="AV11">
        <v>0.5</v>
      </c>
      <c r="AW11">
        <v>0</v>
      </c>
    </row>
    <row r="12" spans="1:53" x14ac:dyDescent="0.35">
      <c r="A12">
        <v>9</v>
      </c>
      <c r="B12">
        <v>1</v>
      </c>
      <c r="C12">
        <v>0</v>
      </c>
      <c r="D12">
        <v>0</v>
      </c>
      <c r="J12">
        <v>9</v>
      </c>
      <c r="K12">
        <v>1</v>
      </c>
      <c r="L12">
        <v>0</v>
      </c>
      <c r="M12">
        <v>0</v>
      </c>
      <c r="S12">
        <v>9</v>
      </c>
      <c r="T12">
        <v>1</v>
      </c>
      <c r="U12">
        <v>0</v>
      </c>
      <c r="V12">
        <v>0</v>
      </c>
      <c r="AB12">
        <v>9</v>
      </c>
      <c r="AC12">
        <v>1</v>
      </c>
      <c r="AD12">
        <v>0</v>
      </c>
      <c r="AE12">
        <v>0</v>
      </c>
      <c r="AK12">
        <v>9</v>
      </c>
      <c r="AL12">
        <v>1</v>
      </c>
      <c r="AM12">
        <v>0</v>
      </c>
      <c r="AN12">
        <v>0</v>
      </c>
      <c r="AT12">
        <v>9</v>
      </c>
      <c r="AU12">
        <v>1</v>
      </c>
      <c r="AV12">
        <v>0</v>
      </c>
      <c r="AW12">
        <v>0</v>
      </c>
    </row>
    <row r="13" spans="1:53" x14ac:dyDescent="0.35">
      <c r="A13">
        <v>10</v>
      </c>
      <c r="B13">
        <v>1</v>
      </c>
      <c r="C13">
        <v>0.5</v>
      </c>
      <c r="D13">
        <v>0</v>
      </c>
      <c r="J13">
        <v>10</v>
      </c>
      <c r="K13">
        <v>1</v>
      </c>
      <c r="L13">
        <v>0.5</v>
      </c>
      <c r="M13">
        <v>0</v>
      </c>
      <c r="S13">
        <v>10</v>
      </c>
      <c r="T13">
        <v>1</v>
      </c>
      <c r="U13">
        <v>0.5</v>
      </c>
      <c r="V13">
        <v>0</v>
      </c>
      <c r="AB13">
        <v>10</v>
      </c>
      <c r="AC13">
        <v>1</v>
      </c>
      <c r="AD13">
        <v>0.5</v>
      </c>
      <c r="AE13">
        <v>0</v>
      </c>
      <c r="AK13">
        <v>10</v>
      </c>
      <c r="AL13">
        <v>1</v>
      </c>
      <c r="AM13">
        <v>0.5</v>
      </c>
      <c r="AN13">
        <v>0</v>
      </c>
      <c r="AT13">
        <v>10</v>
      </c>
      <c r="AU13">
        <v>1</v>
      </c>
      <c r="AV13">
        <v>0.5</v>
      </c>
      <c r="AW13">
        <v>0</v>
      </c>
    </row>
    <row r="14" spans="1:53" x14ac:dyDescent="0.35">
      <c r="A14">
        <v>11</v>
      </c>
      <c r="B14">
        <v>1</v>
      </c>
      <c r="C14">
        <v>1</v>
      </c>
      <c r="D14">
        <v>0</v>
      </c>
      <c r="J14">
        <v>11</v>
      </c>
      <c r="K14">
        <v>1</v>
      </c>
      <c r="L14">
        <v>1</v>
      </c>
      <c r="M14">
        <v>0</v>
      </c>
      <c r="S14">
        <v>11</v>
      </c>
      <c r="T14">
        <v>1</v>
      </c>
      <c r="U14">
        <v>1</v>
      </c>
      <c r="V14">
        <v>0</v>
      </c>
      <c r="AB14">
        <v>11</v>
      </c>
      <c r="AC14">
        <v>1</v>
      </c>
      <c r="AD14">
        <v>1</v>
      </c>
      <c r="AE14">
        <v>0</v>
      </c>
      <c r="AK14">
        <v>11</v>
      </c>
      <c r="AL14">
        <v>1</v>
      </c>
      <c r="AM14">
        <v>1</v>
      </c>
      <c r="AN14">
        <v>0</v>
      </c>
      <c r="AT14">
        <v>11</v>
      </c>
      <c r="AU14">
        <v>1</v>
      </c>
      <c r="AV14">
        <v>1</v>
      </c>
      <c r="AW14">
        <v>0</v>
      </c>
    </row>
    <row r="15" spans="1:53" x14ac:dyDescent="0.35">
      <c r="AT15">
        <v>12</v>
      </c>
      <c r="AU15">
        <v>0.5</v>
      </c>
      <c r="AV15">
        <v>0.75</v>
      </c>
      <c r="AW15">
        <v>0</v>
      </c>
    </row>
    <row r="23" spans="6:51" x14ac:dyDescent="0.35">
      <c r="F23" t="s">
        <v>25</v>
      </c>
      <c r="O23" t="s">
        <v>41</v>
      </c>
      <c r="X23" t="s">
        <v>34</v>
      </c>
      <c r="AG23" t="s">
        <v>35</v>
      </c>
      <c r="AP23" t="s">
        <v>36</v>
      </c>
      <c r="AY2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A2421-C8C5-47A7-A8C1-C565A9EFBC6B}">
  <sheetPr codeName="Sheet7"/>
  <dimension ref="A1:BA29"/>
  <sheetViews>
    <sheetView workbookViewId="0">
      <selection activeCell="X4" sqref="X4"/>
    </sheetView>
  </sheetViews>
  <sheetFormatPr defaultRowHeight="14.5" x14ac:dyDescent="0.35"/>
  <sheetData>
    <row r="1" spans="1:53" x14ac:dyDescent="0.35">
      <c r="A1" s="7" t="s">
        <v>14</v>
      </c>
      <c r="B1" s="11">
        <v>1</v>
      </c>
      <c r="C1" s="7"/>
      <c r="D1" s="7"/>
      <c r="E1" s="7"/>
      <c r="F1" s="7"/>
      <c r="G1" s="7"/>
      <c r="H1" s="7"/>
      <c r="J1" s="7" t="s">
        <v>14</v>
      </c>
      <c r="K1" s="2">
        <v>2</v>
      </c>
      <c r="L1" s="2"/>
      <c r="M1" s="2"/>
      <c r="N1" s="2"/>
      <c r="O1" s="2"/>
      <c r="P1" s="2"/>
      <c r="Q1" s="2"/>
      <c r="S1" s="7" t="s">
        <v>14</v>
      </c>
      <c r="T1" s="2">
        <v>3</v>
      </c>
      <c r="U1" s="2"/>
      <c r="V1" s="2"/>
      <c r="W1" s="2"/>
      <c r="X1" s="2"/>
      <c r="Y1" s="2"/>
      <c r="Z1" s="2"/>
      <c r="AB1" s="2" t="s">
        <v>14</v>
      </c>
      <c r="AC1" s="2">
        <v>4</v>
      </c>
      <c r="AD1" s="2"/>
      <c r="AE1" s="2"/>
      <c r="AF1" s="2"/>
      <c r="AG1" s="2"/>
      <c r="AH1" s="2"/>
      <c r="AI1" s="2"/>
      <c r="AK1" s="2" t="s">
        <v>14</v>
      </c>
      <c r="AL1" s="2">
        <v>5</v>
      </c>
      <c r="AM1" s="2"/>
      <c r="AN1" s="2"/>
      <c r="AO1" s="2"/>
      <c r="AP1" s="2"/>
      <c r="AQ1" s="2"/>
      <c r="AR1" s="2"/>
      <c r="AT1" s="2" t="s">
        <v>14</v>
      </c>
      <c r="AU1" s="2">
        <v>6</v>
      </c>
      <c r="AV1" s="2"/>
      <c r="AW1" s="2"/>
      <c r="AX1" s="2"/>
      <c r="AY1" s="2"/>
      <c r="AZ1" s="2"/>
      <c r="BA1" s="2"/>
    </row>
    <row r="3" spans="1:53" x14ac:dyDescent="0.35">
      <c r="A3" s="13" t="s">
        <v>20</v>
      </c>
      <c r="B3" s="13" t="s">
        <v>46</v>
      </c>
      <c r="C3" s="13" t="s">
        <v>47</v>
      </c>
      <c r="D3" s="13" t="s">
        <v>81</v>
      </c>
      <c r="E3" s="10" t="s">
        <v>19</v>
      </c>
      <c r="F3" s="3" t="s">
        <v>44</v>
      </c>
      <c r="G3" s="10" t="s">
        <v>42</v>
      </c>
      <c r="H3" s="10" t="s">
        <v>43</v>
      </c>
      <c r="J3" s="13" t="s">
        <v>20</v>
      </c>
      <c r="K3" s="13" t="s">
        <v>46</v>
      </c>
      <c r="L3" s="13" t="s">
        <v>47</v>
      </c>
      <c r="M3" s="13" t="s">
        <v>81</v>
      </c>
      <c r="N3" s="10" t="s">
        <v>19</v>
      </c>
      <c r="O3" s="3" t="s">
        <v>44</v>
      </c>
      <c r="P3" s="10" t="s">
        <v>42</v>
      </c>
      <c r="Q3" s="10" t="s">
        <v>43</v>
      </c>
      <c r="S3" s="13" t="s">
        <v>20</v>
      </c>
      <c r="T3" s="13" t="s">
        <v>46</v>
      </c>
      <c r="U3" s="13" t="s">
        <v>47</v>
      </c>
      <c r="V3" s="13" t="s">
        <v>81</v>
      </c>
      <c r="W3" s="10" t="s">
        <v>19</v>
      </c>
      <c r="X3" s="3" t="s">
        <v>44</v>
      </c>
      <c r="Y3" s="10" t="s">
        <v>42</v>
      </c>
      <c r="Z3" s="10" t="s">
        <v>43</v>
      </c>
      <c r="AB3" s="13" t="s">
        <v>20</v>
      </c>
      <c r="AC3" s="13" t="s">
        <v>46</v>
      </c>
      <c r="AD3" s="13" t="s">
        <v>47</v>
      </c>
      <c r="AE3" s="13" t="s">
        <v>81</v>
      </c>
      <c r="AF3" s="10" t="s">
        <v>19</v>
      </c>
      <c r="AG3" s="3" t="s">
        <v>44</v>
      </c>
      <c r="AH3" s="10" t="s">
        <v>42</v>
      </c>
      <c r="AI3" s="10" t="s">
        <v>43</v>
      </c>
      <c r="AK3" s="13" t="s">
        <v>20</v>
      </c>
      <c r="AL3" s="13" t="s">
        <v>46</v>
      </c>
      <c r="AM3" s="13" t="s">
        <v>47</v>
      </c>
      <c r="AN3" s="13" t="s">
        <v>81</v>
      </c>
      <c r="AO3" s="10" t="s">
        <v>19</v>
      </c>
      <c r="AP3" s="3" t="s">
        <v>44</v>
      </c>
      <c r="AQ3" s="10" t="s">
        <v>42</v>
      </c>
      <c r="AR3" s="10" t="s">
        <v>43</v>
      </c>
      <c r="AT3" s="13" t="s">
        <v>20</v>
      </c>
      <c r="AU3" s="13" t="s">
        <v>46</v>
      </c>
      <c r="AV3" s="13" t="s">
        <v>47</v>
      </c>
      <c r="AW3" s="13" t="s">
        <v>81</v>
      </c>
      <c r="AX3" s="10" t="s">
        <v>19</v>
      </c>
      <c r="AY3" s="3" t="s">
        <v>44</v>
      </c>
      <c r="AZ3" s="10" t="s">
        <v>42</v>
      </c>
      <c r="BA3" s="10" t="s">
        <v>43</v>
      </c>
    </row>
    <row r="4" spans="1:53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147</v>
      </c>
      <c r="G4">
        <v>1</v>
      </c>
      <c r="H4">
        <v>4</v>
      </c>
      <c r="J4">
        <v>1</v>
      </c>
      <c r="K4">
        <v>0</v>
      </c>
      <c r="L4">
        <v>0</v>
      </c>
      <c r="M4">
        <v>0</v>
      </c>
      <c r="N4">
        <v>1</v>
      </c>
      <c r="O4" t="s">
        <v>147</v>
      </c>
      <c r="P4">
        <v>1</v>
      </c>
      <c r="Q4">
        <v>6</v>
      </c>
      <c r="S4">
        <v>1</v>
      </c>
      <c r="T4">
        <v>0</v>
      </c>
      <c r="U4">
        <v>0</v>
      </c>
      <c r="V4">
        <v>0</v>
      </c>
      <c r="W4">
        <v>1</v>
      </c>
      <c r="X4" t="s">
        <v>147</v>
      </c>
      <c r="Y4">
        <v>2</v>
      </c>
      <c r="Z4">
        <v>7</v>
      </c>
      <c r="AB4">
        <v>1</v>
      </c>
      <c r="AC4">
        <v>0</v>
      </c>
      <c r="AD4">
        <v>0</v>
      </c>
      <c r="AE4">
        <v>0</v>
      </c>
      <c r="AF4">
        <v>1</v>
      </c>
      <c r="AG4" t="s">
        <v>147</v>
      </c>
      <c r="AH4">
        <v>1</v>
      </c>
      <c r="AI4">
        <v>4</v>
      </c>
      <c r="AK4">
        <v>1</v>
      </c>
      <c r="AL4">
        <v>0</v>
      </c>
      <c r="AM4">
        <v>0</v>
      </c>
      <c r="AN4">
        <v>0</v>
      </c>
      <c r="AO4">
        <v>1</v>
      </c>
      <c r="AP4" t="s">
        <v>147</v>
      </c>
      <c r="AQ4">
        <v>3</v>
      </c>
      <c r="AR4">
        <v>4</v>
      </c>
      <c r="AT4">
        <v>1</v>
      </c>
      <c r="AU4">
        <v>0</v>
      </c>
      <c r="AV4">
        <v>0</v>
      </c>
      <c r="AW4">
        <v>0</v>
      </c>
      <c r="AX4">
        <v>1</v>
      </c>
      <c r="AY4" t="s">
        <v>147</v>
      </c>
      <c r="AZ4">
        <v>17</v>
      </c>
      <c r="BA4">
        <v>13</v>
      </c>
    </row>
    <row r="5" spans="1:53" x14ac:dyDescent="0.35">
      <c r="A5">
        <v>2</v>
      </c>
      <c r="B5">
        <v>0</v>
      </c>
      <c r="C5">
        <v>0.5</v>
      </c>
      <c r="D5">
        <v>0</v>
      </c>
      <c r="E5">
        <v>2</v>
      </c>
      <c r="F5" t="s">
        <v>147</v>
      </c>
      <c r="G5">
        <v>4</v>
      </c>
      <c r="H5">
        <v>7</v>
      </c>
      <c r="J5">
        <v>2</v>
      </c>
      <c r="K5">
        <v>0</v>
      </c>
      <c r="L5">
        <v>0.5</v>
      </c>
      <c r="M5">
        <v>0</v>
      </c>
      <c r="N5">
        <v>2</v>
      </c>
      <c r="O5" t="s">
        <v>147</v>
      </c>
      <c r="P5">
        <v>6</v>
      </c>
      <c r="Q5">
        <v>11</v>
      </c>
      <c r="S5">
        <v>2</v>
      </c>
      <c r="T5">
        <v>0</v>
      </c>
      <c r="U5">
        <v>0.5</v>
      </c>
      <c r="V5">
        <v>0</v>
      </c>
      <c r="W5">
        <v>2</v>
      </c>
      <c r="X5" t="s">
        <v>147</v>
      </c>
      <c r="Y5">
        <v>7</v>
      </c>
      <c r="Z5">
        <v>10</v>
      </c>
      <c r="AB5">
        <v>2</v>
      </c>
      <c r="AC5">
        <v>0</v>
      </c>
      <c r="AD5">
        <v>0.5</v>
      </c>
      <c r="AE5">
        <v>0</v>
      </c>
      <c r="AF5">
        <v>2</v>
      </c>
      <c r="AG5" t="s">
        <v>147</v>
      </c>
      <c r="AH5">
        <v>4</v>
      </c>
      <c r="AI5">
        <v>7</v>
      </c>
      <c r="AK5">
        <v>2</v>
      </c>
      <c r="AL5">
        <v>0</v>
      </c>
      <c r="AM5">
        <v>0.5</v>
      </c>
      <c r="AN5">
        <v>0</v>
      </c>
      <c r="AO5">
        <v>2</v>
      </c>
      <c r="AP5" t="s">
        <v>147</v>
      </c>
      <c r="AQ5">
        <v>4</v>
      </c>
      <c r="AR5">
        <v>5</v>
      </c>
      <c r="AT5">
        <v>2</v>
      </c>
      <c r="AU5">
        <v>0</v>
      </c>
      <c r="AV5">
        <v>0.5</v>
      </c>
      <c r="AW5">
        <v>0</v>
      </c>
      <c r="AX5">
        <v>2</v>
      </c>
      <c r="AY5" t="s">
        <v>147</v>
      </c>
      <c r="AZ5">
        <v>21</v>
      </c>
      <c r="BA5">
        <v>13</v>
      </c>
    </row>
    <row r="6" spans="1:53" x14ac:dyDescent="0.35">
      <c r="A6">
        <v>3</v>
      </c>
      <c r="B6">
        <v>0</v>
      </c>
      <c r="C6">
        <v>1</v>
      </c>
      <c r="D6">
        <v>0</v>
      </c>
      <c r="E6">
        <v>3</v>
      </c>
      <c r="F6" t="s">
        <v>147</v>
      </c>
      <c r="G6">
        <v>3</v>
      </c>
      <c r="H6">
        <v>4</v>
      </c>
      <c r="J6">
        <v>3</v>
      </c>
      <c r="K6">
        <v>0</v>
      </c>
      <c r="L6">
        <v>1</v>
      </c>
      <c r="M6">
        <v>0</v>
      </c>
      <c r="N6">
        <v>3</v>
      </c>
      <c r="O6" t="s">
        <v>147</v>
      </c>
      <c r="P6">
        <v>3</v>
      </c>
      <c r="Q6">
        <v>6</v>
      </c>
      <c r="S6">
        <v>3</v>
      </c>
      <c r="T6">
        <v>0</v>
      </c>
      <c r="U6">
        <v>1</v>
      </c>
      <c r="V6">
        <v>0</v>
      </c>
      <c r="W6">
        <v>3</v>
      </c>
      <c r="X6" t="s">
        <v>147</v>
      </c>
      <c r="Y6">
        <v>10</v>
      </c>
      <c r="Z6">
        <v>5</v>
      </c>
      <c r="AB6">
        <v>3</v>
      </c>
      <c r="AC6">
        <v>0</v>
      </c>
      <c r="AD6">
        <v>1</v>
      </c>
      <c r="AE6">
        <v>0</v>
      </c>
      <c r="AF6">
        <v>3</v>
      </c>
      <c r="AG6" t="s">
        <v>147</v>
      </c>
      <c r="AH6">
        <v>7</v>
      </c>
      <c r="AI6">
        <v>8</v>
      </c>
      <c r="AK6">
        <v>3</v>
      </c>
      <c r="AL6">
        <v>0</v>
      </c>
      <c r="AM6">
        <v>1</v>
      </c>
      <c r="AN6">
        <v>0</v>
      </c>
      <c r="AO6">
        <v>3</v>
      </c>
      <c r="AP6" t="s">
        <v>147</v>
      </c>
      <c r="AQ6">
        <v>5</v>
      </c>
      <c r="AR6">
        <v>8</v>
      </c>
      <c r="AT6">
        <v>3</v>
      </c>
      <c r="AU6">
        <v>0</v>
      </c>
      <c r="AV6">
        <v>1</v>
      </c>
      <c r="AW6">
        <v>0</v>
      </c>
      <c r="AX6">
        <v>3</v>
      </c>
      <c r="AY6" t="s">
        <v>147</v>
      </c>
      <c r="AZ6">
        <v>13</v>
      </c>
      <c r="BA6">
        <v>14</v>
      </c>
    </row>
    <row r="7" spans="1:53" x14ac:dyDescent="0.35">
      <c r="A7">
        <v>4</v>
      </c>
      <c r="B7">
        <v>0.25</v>
      </c>
      <c r="C7">
        <v>0.5</v>
      </c>
      <c r="D7">
        <v>0</v>
      </c>
      <c r="E7">
        <v>4</v>
      </c>
      <c r="F7" t="s">
        <v>147</v>
      </c>
      <c r="G7">
        <v>4</v>
      </c>
      <c r="H7">
        <v>5</v>
      </c>
      <c r="J7">
        <v>4</v>
      </c>
      <c r="K7">
        <v>0.25</v>
      </c>
      <c r="L7">
        <v>0.5</v>
      </c>
      <c r="M7">
        <v>0</v>
      </c>
      <c r="N7">
        <v>4</v>
      </c>
      <c r="O7" t="s">
        <v>147</v>
      </c>
      <c r="P7">
        <v>6</v>
      </c>
      <c r="Q7">
        <v>9</v>
      </c>
      <c r="S7">
        <v>4</v>
      </c>
      <c r="T7">
        <v>0.25</v>
      </c>
      <c r="U7">
        <v>0.5</v>
      </c>
      <c r="V7">
        <v>0</v>
      </c>
      <c r="W7">
        <v>4</v>
      </c>
      <c r="X7" t="s">
        <v>147</v>
      </c>
      <c r="Y7">
        <v>5</v>
      </c>
      <c r="Z7">
        <v>2</v>
      </c>
      <c r="AB7">
        <v>4</v>
      </c>
      <c r="AC7">
        <v>0.25</v>
      </c>
      <c r="AD7">
        <v>0.5</v>
      </c>
      <c r="AE7">
        <v>0</v>
      </c>
      <c r="AF7">
        <v>4</v>
      </c>
      <c r="AG7" t="s">
        <v>147</v>
      </c>
      <c r="AH7">
        <v>8</v>
      </c>
      <c r="AI7">
        <v>9</v>
      </c>
      <c r="AK7">
        <v>4</v>
      </c>
      <c r="AL7">
        <v>0.25</v>
      </c>
      <c r="AM7">
        <v>0.5</v>
      </c>
      <c r="AN7">
        <v>0</v>
      </c>
      <c r="AO7">
        <v>4</v>
      </c>
      <c r="AP7" t="s">
        <v>147</v>
      </c>
      <c r="AQ7">
        <v>8</v>
      </c>
      <c r="AR7">
        <v>11</v>
      </c>
      <c r="AT7">
        <v>4</v>
      </c>
      <c r="AU7">
        <v>0.25</v>
      </c>
      <c r="AV7">
        <v>0.5</v>
      </c>
      <c r="AW7">
        <v>0</v>
      </c>
      <c r="AX7">
        <v>4</v>
      </c>
      <c r="AY7" t="s">
        <v>147</v>
      </c>
      <c r="AZ7">
        <v>18</v>
      </c>
      <c r="BA7">
        <v>14</v>
      </c>
    </row>
    <row r="8" spans="1:53" x14ac:dyDescent="0.35">
      <c r="A8">
        <v>5</v>
      </c>
      <c r="B8">
        <v>0.5</v>
      </c>
      <c r="C8">
        <v>0</v>
      </c>
      <c r="D8">
        <v>0</v>
      </c>
      <c r="E8">
        <v>5</v>
      </c>
      <c r="F8" t="s">
        <v>147</v>
      </c>
      <c r="G8">
        <v>7</v>
      </c>
      <c r="H8">
        <v>8</v>
      </c>
      <c r="J8">
        <v>5</v>
      </c>
      <c r="K8">
        <v>0.5</v>
      </c>
      <c r="L8">
        <v>0</v>
      </c>
      <c r="M8">
        <v>0</v>
      </c>
      <c r="S8">
        <v>5</v>
      </c>
      <c r="T8">
        <v>0.5</v>
      </c>
      <c r="U8">
        <v>0</v>
      </c>
      <c r="V8">
        <v>0</v>
      </c>
      <c r="AB8">
        <v>5</v>
      </c>
      <c r="AC8">
        <v>0.5</v>
      </c>
      <c r="AD8">
        <v>0</v>
      </c>
      <c r="AE8">
        <v>0</v>
      </c>
      <c r="AK8">
        <v>5</v>
      </c>
      <c r="AL8">
        <v>0.5</v>
      </c>
      <c r="AM8">
        <v>0</v>
      </c>
      <c r="AN8">
        <v>0</v>
      </c>
      <c r="AT8">
        <v>5</v>
      </c>
      <c r="AU8">
        <v>0.5</v>
      </c>
      <c r="AV8">
        <v>0</v>
      </c>
      <c r="AW8">
        <v>0</v>
      </c>
      <c r="AX8">
        <v>5</v>
      </c>
      <c r="AY8" t="s">
        <v>147</v>
      </c>
      <c r="AZ8">
        <v>22</v>
      </c>
      <c r="BA8">
        <v>14</v>
      </c>
    </row>
    <row r="9" spans="1:53" x14ac:dyDescent="0.35">
      <c r="A9">
        <v>6</v>
      </c>
      <c r="B9">
        <v>0.5</v>
      </c>
      <c r="C9">
        <v>0.5</v>
      </c>
      <c r="D9">
        <v>0</v>
      </c>
      <c r="E9">
        <v>6</v>
      </c>
      <c r="F9" t="s">
        <v>147</v>
      </c>
      <c r="G9">
        <v>8</v>
      </c>
      <c r="H9">
        <v>9</v>
      </c>
      <c r="J9">
        <v>6</v>
      </c>
      <c r="K9">
        <v>0.5</v>
      </c>
      <c r="L9">
        <v>0.5</v>
      </c>
      <c r="M9">
        <v>0</v>
      </c>
      <c r="S9">
        <v>6</v>
      </c>
      <c r="T9">
        <v>0.5</v>
      </c>
      <c r="U9">
        <v>0.5</v>
      </c>
      <c r="V9">
        <v>0</v>
      </c>
      <c r="AB9">
        <v>6</v>
      </c>
      <c r="AC9">
        <v>0.5</v>
      </c>
      <c r="AD9">
        <v>0.5</v>
      </c>
      <c r="AE9">
        <v>0</v>
      </c>
      <c r="AK9">
        <v>6</v>
      </c>
      <c r="AL9">
        <v>0.5</v>
      </c>
      <c r="AM9">
        <v>0.5</v>
      </c>
      <c r="AN9">
        <v>0</v>
      </c>
      <c r="AT9">
        <v>6</v>
      </c>
      <c r="AU9">
        <v>0.5</v>
      </c>
      <c r="AV9">
        <v>0.5</v>
      </c>
      <c r="AW9">
        <v>0</v>
      </c>
      <c r="AX9">
        <v>6</v>
      </c>
      <c r="AY9" t="s">
        <v>147</v>
      </c>
      <c r="AZ9">
        <v>14</v>
      </c>
      <c r="BA9">
        <v>16</v>
      </c>
    </row>
    <row r="10" spans="1:53" x14ac:dyDescent="0.35">
      <c r="A10">
        <v>7</v>
      </c>
      <c r="B10">
        <v>0.5</v>
      </c>
      <c r="C10">
        <v>1</v>
      </c>
      <c r="D10">
        <v>0</v>
      </c>
      <c r="E10">
        <v>7</v>
      </c>
      <c r="F10" t="s">
        <v>147</v>
      </c>
      <c r="G10">
        <v>5</v>
      </c>
      <c r="H10">
        <v>8</v>
      </c>
      <c r="J10">
        <v>7</v>
      </c>
      <c r="K10">
        <v>0.5</v>
      </c>
      <c r="L10">
        <v>1</v>
      </c>
      <c r="M10">
        <v>0</v>
      </c>
      <c r="S10">
        <v>7</v>
      </c>
      <c r="T10">
        <v>0.5</v>
      </c>
      <c r="U10">
        <v>1</v>
      </c>
      <c r="V10">
        <v>0</v>
      </c>
      <c r="AB10">
        <v>7</v>
      </c>
      <c r="AC10">
        <v>0.5</v>
      </c>
      <c r="AD10">
        <v>1</v>
      </c>
      <c r="AE10">
        <v>0</v>
      </c>
      <c r="AK10">
        <v>7</v>
      </c>
      <c r="AL10">
        <v>0.5</v>
      </c>
      <c r="AM10">
        <v>1</v>
      </c>
      <c r="AN10">
        <v>0</v>
      </c>
      <c r="AT10">
        <v>7</v>
      </c>
      <c r="AU10">
        <v>0.5</v>
      </c>
      <c r="AV10">
        <v>1</v>
      </c>
      <c r="AW10">
        <v>0</v>
      </c>
      <c r="AX10">
        <v>7</v>
      </c>
      <c r="AY10" t="s">
        <v>147</v>
      </c>
      <c r="AZ10">
        <v>24</v>
      </c>
      <c r="BA10">
        <v>16</v>
      </c>
    </row>
    <row r="11" spans="1:53" x14ac:dyDescent="0.35">
      <c r="A11">
        <v>8</v>
      </c>
      <c r="B11">
        <v>0.75</v>
      </c>
      <c r="C11">
        <v>0.5</v>
      </c>
      <c r="D11">
        <v>0</v>
      </c>
      <c r="E11">
        <v>8</v>
      </c>
      <c r="F11" t="s">
        <v>147</v>
      </c>
      <c r="G11">
        <v>8</v>
      </c>
      <c r="H11">
        <v>11</v>
      </c>
      <c r="J11">
        <v>8</v>
      </c>
      <c r="K11">
        <v>0.75</v>
      </c>
      <c r="L11">
        <v>0.5</v>
      </c>
      <c r="M11">
        <v>0</v>
      </c>
      <c r="S11">
        <v>8</v>
      </c>
      <c r="T11">
        <v>0.75</v>
      </c>
      <c r="U11">
        <v>0.5</v>
      </c>
      <c r="V11">
        <v>0</v>
      </c>
      <c r="AB11">
        <v>8</v>
      </c>
      <c r="AC11">
        <v>0.75</v>
      </c>
      <c r="AD11">
        <v>0.5</v>
      </c>
      <c r="AE11">
        <v>0</v>
      </c>
      <c r="AK11">
        <v>8</v>
      </c>
      <c r="AL11">
        <v>0.75</v>
      </c>
      <c r="AM11">
        <v>0.5</v>
      </c>
      <c r="AN11">
        <v>0</v>
      </c>
      <c r="AT11">
        <v>8</v>
      </c>
      <c r="AU11">
        <v>0.75</v>
      </c>
      <c r="AV11">
        <v>0.5</v>
      </c>
      <c r="AW11">
        <v>0</v>
      </c>
      <c r="AX11">
        <v>8</v>
      </c>
      <c r="AY11" t="s">
        <v>147</v>
      </c>
      <c r="AZ11">
        <v>20</v>
      </c>
      <c r="BA11">
        <v>16</v>
      </c>
    </row>
    <row r="12" spans="1:53" x14ac:dyDescent="0.35">
      <c r="A12">
        <v>9</v>
      </c>
      <c r="B12">
        <v>1</v>
      </c>
      <c r="C12">
        <v>0</v>
      </c>
      <c r="D12">
        <v>0</v>
      </c>
      <c r="J12">
        <v>9</v>
      </c>
      <c r="K12">
        <v>1</v>
      </c>
      <c r="L12">
        <v>0</v>
      </c>
      <c r="M12">
        <v>0</v>
      </c>
      <c r="S12">
        <v>9</v>
      </c>
      <c r="T12">
        <v>1</v>
      </c>
      <c r="U12">
        <v>0</v>
      </c>
      <c r="V12">
        <v>0</v>
      </c>
      <c r="AB12">
        <v>9</v>
      </c>
      <c r="AC12">
        <v>1</v>
      </c>
      <c r="AD12">
        <v>0</v>
      </c>
      <c r="AE12">
        <v>0</v>
      </c>
      <c r="AK12">
        <v>9</v>
      </c>
      <c r="AL12">
        <v>1</v>
      </c>
      <c r="AM12">
        <v>0</v>
      </c>
      <c r="AN12">
        <v>0</v>
      </c>
      <c r="AT12">
        <v>9</v>
      </c>
      <c r="AU12">
        <v>1</v>
      </c>
      <c r="AV12">
        <v>0</v>
      </c>
      <c r="AW12">
        <v>0</v>
      </c>
      <c r="AX12">
        <v>9</v>
      </c>
      <c r="AY12" t="s">
        <v>147</v>
      </c>
      <c r="AZ12">
        <v>16</v>
      </c>
      <c r="BA12">
        <v>15</v>
      </c>
    </row>
    <row r="13" spans="1:53" x14ac:dyDescent="0.35">
      <c r="A13">
        <v>10</v>
      </c>
      <c r="B13">
        <v>1</v>
      </c>
      <c r="C13">
        <v>0.5</v>
      </c>
      <c r="D13">
        <v>0</v>
      </c>
      <c r="J13">
        <v>10</v>
      </c>
      <c r="K13">
        <v>1</v>
      </c>
      <c r="L13">
        <v>0.5</v>
      </c>
      <c r="M13">
        <v>0</v>
      </c>
      <c r="S13">
        <v>10</v>
      </c>
      <c r="T13">
        <v>1</v>
      </c>
      <c r="U13">
        <v>0.5</v>
      </c>
      <c r="V13">
        <v>0</v>
      </c>
      <c r="AB13">
        <v>10</v>
      </c>
      <c r="AC13">
        <v>1</v>
      </c>
      <c r="AD13">
        <v>0.5</v>
      </c>
      <c r="AE13">
        <v>0</v>
      </c>
      <c r="AK13">
        <v>10</v>
      </c>
      <c r="AL13">
        <v>1</v>
      </c>
      <c r="AM13">
        <v>0.5</v>
      </c>
      <c r="AN13">
        <v>0</v>
      </c>
      <c r="AT13">
        <v>10</v>
      </c>
      <c r="AU13">
        <v>1</v>
      </c>
      <c r="AV13">
        <v>0.5</v>
      </c>
      <c r="AW13">
        <v>0</v>
      </c>
      <c r="AX13">
        <v>10</v>
      </c>
      <c r="AY13" t="s">
        <v>147</v>
      </c>
      <c r="AZ13">
        <v>19</v>
      </c>
      <c r="BA13">
        <v>15</v>
      </c>
    </row>
    <row r="14" spans="1:53" x14ac:dyDescent="0.35">
      <c r="A14">
        <v>11</v>
      </c>
      <c r="B14">
        <v>1</v>
      </c>
      <c r="C14">
        <v>1</v>
      </c>
      <c r="D14">
        <v>0</v>
      </c>
      <c r="J14">
        <v>11</v>
      </c>
      <c r="K14">
        <v>1</v>
      </c>
      <c r="L14">
        <v>1</v>
      </c>
      <c r="M14">
        <v>0</v>
      </c>
      <c r="S14">
        <v>11</v>
      </c>
      <c r="T14">
        <v>1</v>
      </c>
      <c r="U14">
        <v>1</v>
      </c>
      <c r="V14">
        <v>0</v>
      </c>
      <c r="AB14">
        <v>11</v>
      </c>
      <c r="AC14">
        <v>1</v>
      </c>
      <c r="AD14">
        <v>1</v>
      </c>
      <c r="AE14">
        <v>0</v>
      </c>
      <c r="AK14">
        <v>11</v>
      </c>
      <c r="AL14">
        <v>1</v>
      </c>
      <c r="AM14">
        <v>1</v>
      </c>
      <c r="AN14">
        <v>0</v>
      </c>
      <c r="AT14">
        <v>11</v>
      </c>
      <c r="AU14">
        <v>1</v>
      </c>
      <c r="AV14">
        <v>1</v>
      </c>
      <c r="AW14">
        <v>0</v>
      </c>
      <c r="AX14">
        <v>11</v>
      </c>
      <c r="AY14" t="s">
        <v>147</v>
      </c>
      <c r="AZ14">
        <v>23</v>
      </c>
      <c r="BA14">
        <v>15</v>
      </c>
    </row>
    <row r="15" spans="1:53" x14ac:dyDescent="0.35">
      <c r="AT15">
        <v>12</v>
      </c>
      <c r="AU15">
        <v>0.5</v>
      </c>
      <c r="AV15">
        <v>0.75</v>
      </c>
      <c r="AW15">
        <v>0</v>
      </c>
      <c r="AX15">
        <v>12</v>
      </c>
      <c r="AY15" t="s">
        <v>147</v>
      </c>
      <c r="AZ15">
        <v>15</v>
      </c>
      <c r="BA15">
        <v>13</v>
      </c>
    </row>
    <row r="16" spans="1:53" x14ac:dyDescent="0.35">
      <c r="AT16">
        <v>13</v>
      </c>
      <c r="AU16">
        <v>0.25</v>
      </c>
      <c r="AV16">
        <v>0.75</v>
      </c>
      <c r="AW16">
        <v>1</v>
      </c>
    </row>
    <row r="17" spans="6:51" x14ac:dyDescent="0.35">
      <c r="AT17">
        <v>14</v>
      </c>
      <c r="AU17">
        <v>0.75</v>
      </c>
      <c r="AV17">
        <v>0.75</v>
      </c>
      <c r="AW17">
        <v>1</v>
      </c>
    </row>
    <row r="18" spans="6:51" x14ac:dyDescent="0.35">
      <c r="AT18">
        <v>15</v>
      </c>
      <c r="AU18">
        <v>0.25</v>
      </c>
      <c r="AV18">
        <v>0.25</v>
      </c>
      <c r="AW18">
        <v>1</v>
      </c>
    </row>
    <row r="19" spans="6:51" x14ac:dyDescent="0.35">
      <c r="AT19">
        <v>16</v>
      </c>
      <c r="AU19">
        <v>0.75</v>
      </c>
      <c r="AV19">
        <v>0.25</v>
      </c>
      <c r="AW19">
        <v>1</v>
      </c>
    </row>
    <row r="20" spans="6:51" x14ac:dyDescent="0.35">
      <c r="AT20">
        <v>17</v>
      </c>
      <c r="AU20">
        <v>0.25</v>
      </c>
      <c r="AV20">
        <v>1</v>
      </c>
      <c r="AW20">
        <v>0</v>
      </c>
    </row>
    <row r="21" spans="6:51" x14ac:dyDescent="0.35">
      <c r="AT21">
        <v>18</v>
      </c>
      <c r="AU21">
        <v>0.75</v>
      </c>
      <c r="AV21">
        <v>1</v>
      </c>
      <c r="AW21">
        <v>0</v>
      </c>
    </row>
    <row r="22" spans="6:51" x14ac:dyDescent="0.35">
      <c r="AT22">
        <v>19</v>
      </c>
      <c r="AU22">
        <v>0.25</v>
      </c>
      <c r="AV22">
        <v>0</v>
      </c>
      <c r="AW22">
        <v>0</v>
      </c>
    </row>
    <row r="23" spans="6:51" x14ac:dyDescent="0.35">
      <c r="F23" t="s">
        <v>25</v>
      </c>
      <c r="O23" t="s">
        <v>41</v>
      </c>
      <c r="X23" t="s">
        <v>34</v>
      </c>
      <c r="AG23" t="s">
        <v>35</v>
      </c>
      <c r="AP23" t="s">
        <v>36</v>
      </c>
      <c r="AT23">
        <v>20</v>
      </c>
      <c r="AU23">
        <v>0.75</v>
      </c>
      <c r="AV23">
        <v>0</v>
      </c>
      <c r="AW23">
        <v>0</v>
      </c>
    </row>
    <row r="24" spans="6:51" x14ac:dyDescent="0.35">
      <c r="AT24">
        <v>21</v>
      </c>
      <c r="AU24">
        <v>0</v>
      </c>
      <c r="AV24">
        <v>0.75</v>
      </c>
      <c r="AW24">
        <v>0</v>
      </c>
    </row>
    <row r="25" spans="6:51" x14ac:dyDescent="0.35">
      <c r="AT25">
        <v>22</v>
      </c>
      <c r="AU25">
        <v>1</v>
      </c>
      <c r="AV25">
        <v>0.75</v>
      </c>
      <c r="AW25">
        <v>0</v>
      </c>
    </row>
    <row r="26" spans="6:51" x14ac:dyDescent="0.35">
      <c r="AT26">
        <v>23</v>
      </c>
      <c r="AU26">
        <v>0</v>
      </c>
      <c r="AV26">
        <v>0.25</v>
      </c>
      <c r="AW26">
        <v>0</v>
      </c>
    </row>
    <row r="27" spans="6:51" x14ac:dyDescent="0.35">
      <c r="AT27">
        <v>24</v>
      </c>
      <c r="AU27">
        <v>1</v>
      </c>
      <c r="AV27">
        <v>0.25</v>
      </c>
      <c r="AW27">
        <v>0</v>
      </c>
    </row>
    <row r="29" spans="6:51" x14ac:dyDescent="0.35">
      <c r="AY29" t="s">
        <v>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D01D-A644-46DA-9DAE-A855A7899508}">
  <sheetPr codeName="Sheet8"/>
  <dimension ref="A1:Q19"/>
  <sheetViews>
    <sheetView workbookViewId="0">
      <selection activeCell="J25" sqref="J25"/>
    </sheetView>
  </sheetViews>
  <sheetFormatPr defaultRowHeight="14.5" x14ac:dyDescent="0.35"/>
  <cols>
    <col min="6" max="6" width="11.54296875" customWidth="1"/>
  </cols>
  <sheetData>
    <row r="1" spans="1:17" x14ac:dyDescent="0.35">
      <c r="A1" s="7" t="s">
        <v>14</v>
      </c>
      <c r="B1" s="11">
        <v>1</v>
      </c>
      <c r="C1" s="7"/>
      <c r="D1" s="7"/>
      <c r="E1" s="7"/>
      <c r="F1" s="7"/>
      <c r="G1" s="7"/>
      <c r="H1" s="7"/>
      <c r="J1" s="7" t="s">
        <v>14</v>
      </c>
      <c r="K1" s="11">
        <v>2</v>
      </c>
      <c r="L1" s="7"/>
      <c r="M1" s="7"/>
      <c r="N1" s="7"/>
      <c r="O1" s="7"/>
      <c r="P1" s="7"/>
      <c r="Q1" s="7"/>
    </row>
    <row r="3" spans="1:17" x14ac:dyDescent="0.35">
      <c r="A3" s="13" t="s">
        <v>20</v>
      </c>
      <c r="B3" s="13" t="s">
        <v>46</v>
      </c>
      <c r="C3" s="13" t="s">
        <v>47</v>
      </c>
      <c r="D3" s="13" t="s">
        <v>81</v>
      </c>
      <c r="E3" s="10" t="s">
        <v>19</v>
      </c>
      <c r="F3" s="3" t="s">
        <v>44</v>
      </c>
      <c r="G3" s="10" t="s">
        <v>42</v>
      </c>
      <c r="H3" s="10" t="s">
        <v>43</v>
      </c>
      <c r="J3" s="13" t="s">
        <v>20</v>
      </c>
      <c r="K3" s="13" t="s">
        <v>46</v>
      </c>
      <c r="L3" s="13" t="s">
        <v>47</v>
      </c>
      <c r="M3" s="13" t="s">
        <v>81</v>
      </c>
      <c r="N3" s="10" t="s">
        <v>19</v>
      </c>
      <c r="O3" s="3" t="s">
        <v>44</v>
      </c>
      <c r="P3" s="10" t="s">
        <v>42</v>
      </c>
      <c r="Q3" s="10" t="s">
        <v>43</v>
      </c>
    </row>
    <row r="4" spans="1:17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147</v>
      </c>
      <c r="G4">
        <v>1</v>
      </c>
      <c r="H4">
        <v>6</v>
      </c>
      <c r="J4">
        <v>1</v>
      </c>
      <c r="K4">
        <v>0</v>
      </c>
      <c r="L4">
        <v>0</v>
      </c>
      <c r="M4">
        <v>0</v>
      </c>
      <c r="N4">
        <v>1</v>
      </c>
      <c r="O4" t="s">
        <v>147</v>
      </c>
      <c r="P4">
        <v>1</v>
      </c>
      <c r="Q4">
        <v>15</v>
      </c>
    </row>
    <row r="5" spans="1:17" x14ac:dyDescent="0.35">
      <c r="A5">
        <v>2</v>
      </c>
      <c r="B5">
        <v>0</v>
      </c>
      <c r="C5">
        <v>0.5</v>
      </c>
      <c r="D5">
        <v>0</v>
      </c>
      <c r="E5">
        <v>2</v>
      </c>
      <c r="F5" t="s">
        <v>147</v>
      </c>
      <c r="G5">
        <v>3</v>
      </c>
      <c r="H5">
        <v>6</v>
      </c>
      <c r="J5">
        <v>2</v>
      </c>
      <c r="K5">
        <v>0</v>
      </c>
      <c r="L5">
        <v>0.5</v>
      </c>
      <c r="M5">
        <v>0</v>
      </c>
      <c r="N5">
        <v>2</v>
      </c>
      <c r="O5" t="s">
        <v>147</v>
      </c>
      <c r="P5">
        <v>3</v>
      </c>
      <c r="Q5">
        <v>13</v>
      </c>
    </row>
    <row r="6" spans="1:17" x14ac:dyDescent="0.35">
      <c r="A6">
        <v>3</v>
      </c>
      <c r="B6">
        <v>0</v>
      </c>
      <c r="C6">
        <v>1</v>
      </c>
      <c r="D6">
        <v>0</v>
      </c>
      <c r="E6">
        <v>3</v>
      </c>
      <c r="F6" t="s">
        <v>147</v>
      </c>
      <c r="G6">
        <v>9</v>
      </c>
      <c r="H6">
        <v>6</v>
      </c>
      <c r="J6">
        <v>3</v>
      </c>
      <c r="K6">
        <v>0</v>
      </c>
      <c r="L6">
        <v>1</v>
      </c>
      <c r="M6">
        <v>0</v>
      </c>
      <c r="N6">
        <v>3</v>
      </c>
      <c r="O6" t="s">
        <v>147</v>
      </c>
      <c r="P6">
        <v>11</v>
      </c>
      <c r="Q6">
        <v>14</v>
      </c>
    </row>
    <row r="7" spans="1:17" x14ac:dyDescent="0.35">
      <c r="A7">
        <v>4</v>
      </c>
      <c r="B7">
        <v>0.25</v>
      </c>
      <c r="C7">
        <v>0.5</v>
      </c>
      <c r="D7">
        <v>0</v>
      </c>
      <c r="E7">
        <v>4</v>
      </c>
      <c r="F7" t="s">
        <v>147</v>
      </c>
      <c r="G7">
        <v>11</v>
      </c>
      <c r="H7">
        <v>6</v>
      </c>
      <c r="J7">
        <v>4</v>
      </c>
      <c r="K7">
        <v>0.25</v>
      </c>
      <c r="L7">
        <v>0.5</v>
      </c>
      <c r="M7">
        <v>0</v>
      </c>
      <c r="N7">
        <v>4</v>
      </c>
      <c r="O7" t="s">
        <v>147</v>
      </c>
      <c r="P7">
        <v>9</v>
      </c>
      <c r="Q7">
        <v>16</v>
      </c>
    </row>
    <row r="8" spans="1:17" x14ac:dyDescent="0.35">
      <c r="A8">
        <v>5</v>
      </c>
      <c r="B8">
        <v>0.5</v>
      </c>
      <c r="C8">
        <v>0</v>
      </c>
      <c r="D8">
        <v>0</v>
      </c>
      <c r="J8">
        <v>5</v>
      </c>
      <c r="K8">
        <v>0.5</v>
      </c>
      <c r="L8">
        <v>0</v>
      </c>
      <c r="M8">
        <v>0</v>
      </c>
    </row>
    <row r="9" spans="1:17" x14ac:dyDescent="0.35">
      <c r="A9">
        <v>6</v>
      </c>
      <c r="B9">
        <v>0.5</v>
      </c>
      <c r="C9">
        <v>0.5</v>
      </c>
      <c r="D9">
        <v>0</v>
      </c>
      <c r="J9">
        <v>6</v>
      </c>
      <c r="K9">
        <v>0.5</v>
      </c>
      <c r="L9">
        <v>0.5</v>
      </c>
      <c r="M9">
        <v>0</v>
      </c>
    </row>
    <row r="10" spans="1:17" x14ac:dyDescent="0.35">
      <c r="A10">
        <v>7</v>
      </c>
      <c r="B10">
        <v>0.5</v>
      </c>
      <c r="C10">
        <v>1</v>
      </c>
      <c r="D10">
        <v>0</v>
      </c>
      <c r="J10">
        <v>7</v>
      </c>
      <c r="K10">
        <v>0.5</v>
      </c>
      <c r="L10">
        <v>1</v>
      </c>
      <c r="M10">
        <v>0</v>
      </c>
    </row>
    <row r="11" spans="1:17" x14ac:dyDescent="0.35">
      <c r="A11">
        <v>8</v>
      </c>
      <c r="B11">
        <v>0.75</v>
      </c>
      <c r="C11">
        <v>0.5</v>
      </c>
      <c r="D11">
        <v>0</v>
      </c>
      <c r="J11">
        <v>8</v>
      </c>
      <c r="K11">
        <v>0.75</v>
      </c>
      <c r="L11">
        <v>0.5</v>
      </c>
      <c r="M11">
        <v>0</v>
      </c>
    </row>
    <row r="12" spans="1:17" x14ac:dyDescent="0.35">
      <c r="A12">
        <v>9</v>
      </c>
      <c r="B12">
        <v>1</v>
      </c>
      <c r="C12">
        <v>0</v>
      </c>
      <c r="D12">
        <v>0</v>
      </c>
      <c r="J12">
        <v>9</v>
      </c>
      <c r="K12">
        <v>1</v>
      </c>
      <c r="L12">
        <v>0</v>
      </c>
      <c r="M12">
        <v>0</v>
      </c>
    </row>
    <row r="13" spans="1:17" x14ac:dyDescent="0.35">
      <c r="A13">
        <v>10</v>
      </c>
      <c r="B13">
        <v>1</v>
      </c>
      <c r="C13">
        <v>0.5</v>
      </c>
      <c r="D13">
        <v>0</v>
      </c>
      <c r="J13">
        <v>10</v>
      </c>
      <c r="K13">
        <v>1</v>
      </c>
      <c r="L13">
        <v>0.5</v>
      </c>
      <c r="M13">
        <v>0</v>
      </c>
    </row>
    <row r="14" spans="1:17" x14ac:dyDescent="0.35">
      <c r="A14">
        <v>11</v>
      </c>
      <c r="B14">
        <v>1</v>
      </c>
      <c r="C14">
        <v>1</v>
      </c>
      <c r="D14">
        <v>0</v>
      </c>
      <c r="J14">
        <v>11</v>
      </c>
      <c r="K14">
        <v>1</v>
      </c>
      <c r="L14">
        <v>1</v>
      </c>
      <c r="M14">
        <v>0</v>
      </c>
    </row>
    <row r="15" spans="1:17" x14ac:dyDescent="0.35">
      <c r="J15">
        <v>12</v>
      </c>
      <c r="K15">
        <v>0.5</v>
      </c>
      <c r="L15">
        <v>0.75</v>
      </c>
      <c r="M15">
        <v>0</v>
      </c>
    </row>
    <row r="16" spans="1:17" x14ac:dyDescent="0.35">
      <c r="J16">
        <v>13</v>
      </c>
      <c r="K16">
        <v>0.25</v>
      </c>
      <c r="L16">
        <v>0.75</v>
      </c>
      <c r="M16">
        <v>0</v>
      </c>
    </row>
    <row r="17" spans="10:13" x14ac:dyDescent="0.35">
      <c r="J17">
        <v>14</v>
      </c>
      <c r="K17">
        <v>0.75</v>
      </c>
      <c r="L17">
        <v>0.75</v>
      </c>
      <c r="M17">
        <v>0</v>
      </c>
    </row>
    <row r="18" spans="10:13" x14ac:dyDescent="0.35">
      <c r="J18">
        <v>15</v>
      </c>
      <c r="K18">
        <v>0.25</v>
      </c>
      <c r="L18">
        <v>0.25</v>
      </c>
      <c r="M18">
        <v>0</v>
      </c>
    </row>
    <row r="19" spans="10:13" x14ac:dyDescent="0.35">
      <c r="J19">
        <v>16</v>
      </c>
      <c r="K19">
        <v>0.75</v>
      </c>
      <c r="L19">
        <v>0.25</v>
      </c>
      <c r="M1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3909-1FE7-4E99-8977-4508734C53F5}">
  <sheetPr codeName="Sheet9"/>
  <dimension ref="A1:E20"/>
  <sheetViews>
    <sheetView workbookViewId="0">
      <selection activeCell="G16" sqref="G16"/>
    </sheetView>
  </sheetViews>
  <sheetFormatPr defaultRowHeight="14.5" x14ac:dyDescent="0.35"/>
  <cols>
    <col min="1" max="1" width="18.81640625" bestFit="1" customWidth="1"/>
    <col min="2" max="2" width="11" bestFit="1" customWidth="1"/>
    <col min="4" max="4" width="18.81640625" bestFit="1" customWidth="1"/>
  </cols>
  <sheetData>
    <row r="1" spans="1:5" s="1" customFormat="1" x14ac:dyDescent="0.35">
      <c r="A1" s="2" t="s">
        <v>22</v>
      </c>
      <c r="B1" s="2">
        <v>1</v>
      </c>
      <c r="D1" s="2" t="s">
        <v>22</v>
      </c>
      <c r="E1" s="2">
        <v>2</v>
      </c>
    </row>
    <row r="2" spans="1:5" s="1" customFormat="1" x14ac:dyDescent="0.35"/>
    <row r="3" spans="1:5" s="1" customFormat="1" x14ac:dyDescent="0.35">
      <c r="A3" s="1" t="s">
        <v>2</v>
      </c>
      <c r="B3" s="1" t="s">
        <v>3</v>
      </c>
      <c r="D3" s="1" t="s">
        <v>2</v>
      </c>
      <c r="E3" s="1" t="s">
        <v>3</v>
      </c>
    </row>
    <row r="4" spans="1:5" s="4" customFormat="1" x14ac:dyDescent="0.35">
      <c r="A4" s="4" t="s">
        <v>23</v>
      </c>
      <c r="B4" s="4" t="s">
        <v>0</v>
      </c>
      <c r="D4" s="4" t="s">
        <v>23</v>
      </c>
      <c r="E4" s="4" t="s">
        <v>1</v>
      </c>
    </row>
    <row r="5" spans="1:5" s="4" customFormat="1" x14ac:dyDescent="0.35">
      <c r="A5" s="4" t="s">
        <v>39</v>
      </c>
      <c r="B5" s="4">
        <v>3</v>
      </c>
      <c r="D5" s="4" t="s">
        <v>39</v>
      </c>
      <c r="E5" s="4">
        <v>1</v>
      </c>
    </row>
    <row r="6" spans="1:5" s="4" customFormat="1" x14ac:dyDescent="0.35">
      <c r="A6" s="4" t="s">
        <v>71</v>
      </c>
      <c r="B6" s="4">
        <v>1962</v>
      </c>
      <c r="D6" s="4" t="s">
        <v>71</v>
      </c>
      <c r="E6" s="4">
        <v>1E-4</v>
      </c>
    </row>
    <row r="7" spans="1:5" s="4" customFormat="1" x14ac:dyDescent="0.35">
      <c r="A7" s="4" t="s">
        <v>15</v>
      </c>
      <c r="B7" s="6">
        <v>1250000000</v>
      </c>
      <c r="D7" s="4" t="s">
        <v>15</v>
      </c>
      <c r="E7" s="6">
        <v>200000000000</v>
      </c>
    </row>
    <row r="8" spans="1:5" s="4" customFormat="1" x14ac:dyDescent="0.35">
      <c r="A8" s="4" t="s">
        <v>16</v>
      </c>
      <c r="B8" s="4">
        <v>0.3</v>
      </c>
      <c r="D8" s="4" t="s">
        <v>16</v>
      </c>
      <c r="E8" s="4">
        <v>0.3</v>
      </c>
    </row>
    <row r="9" spans="1:5" s="4" customFormat="1" x14ac:dyDescent="0.35">
      <c r="A9" s="4" t="s">
        <v>17</v>
      </c>
      <c r="B9" s="6">
        <v>1.17E-5</v>
      </c>
      <c r="D9" s="4" t="s">
        <v>17</v>
      </c>
      <c r="E9" s="6">
        <v>1.17E-5</v>
      </c>
    </row>
    <row r="10" spans="1:5" s="4" customFormat="1" x14ac:dyDescent="0.35"/>
    <row r="11" spans="1:5" s="4" customFormat="1" x14ac:dyDescent="0.35"/>
    <row r="12" spans="1:5" s="4" customFormat="1" x14ac:dyDescent="0.35"/>
    <row r="13" spans="1:5" s="4" customFormat="1" x14ac:dyDescent="0.35"/>
    <row r="14" spans="1:5" s="4" customFormat="1" x14ac:dyDescent="0.35"/>
    <row r="15" spans="1:5" s="4" customFormat="1" x14ac:dyDescent="0.35"/>
    <row r="16" spans="1:5" s="1" customFormat="1" x14ac:dyDescent="0.35">
      <c r="A16" s="4"/>
      <c r="B16" s="4"/>
      <c r="C16" s="4"/>
      <c r="D16" s="4"/>
      <c r="E16" s="4"/>
    </row>
    <row r="17" spans="1:5" s="1" customFormat="1" x14ac:dyDescent="0.35"/>
    <row r="18" spans="1:5" s="1" customFormat="1" x14ac:dyDescent="0.35"/>
    <row r="19" spans="1:5" s="1" customFormat="1" x14ac:dyDescent="0.35"/>
    <row r="20" spans="1:5" x14ac:dyDescent="0.35">
      <c r="A20" s="1"/>
      <c r="B20" s="1"/>
      <c r="C20" s="1"/>
      <c r="D20" s="1"/>
      <c r="E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Interface</vt:lpstr>
      <vt:lpstr>Index</vt:lpstr>
      <vt:lpstr>Input Table</vt:lpstr>
      <vt:lpstr>Panels</vt:lpstr>
      <vt:lpstr>Floor Plans</vt:lpstr>
      <vt:lpstr>Section Properties</vt:lpstr>
      <vt:lpstr>Bracing</vt:lpstr>
      <vt:lpstr>Floor Bracing</vt:lpstr>
      <vt:lpstr>Space Bracing</vt:lpstr>
      <vt:lpstr>Materials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Kota Abe</dc:creator>
  <cp:keywords/>
  <dc:description/>
  <cp:lastModifiedBy>Kota Abe</cp:lastModifiedBy>
  <cp:revision/>
  <dcterms:created xsi:type="dcterms:W3CDTF">2019-05-14T22:06:00Z</dcterms:created>
  <dcterms:modified xsi:type="dcterms:W3CDTF">2019-12-05T04:04:50Z</dcterms:modified>
  <cp:category/>
  <cp:contentStatus/>
</cp:coreProperties>
</file>